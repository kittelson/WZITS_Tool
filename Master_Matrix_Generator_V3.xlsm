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xml" ContentType="application/vnd.openxmlformats-officedocument.drawing+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4.xml" ContentType="application/vnd.openxmlformats-officedocument.drawing+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rawings/drawing6.xml" ContentType="application/vnd.openxmlformats-officedocument.drawing+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iagrams/data4.xml" ContentType="application/vnd.openxmlformats-officedocument.drawingml.diagramData+xml"/>
  <Override PartName="/xl/diagrams/layout4.xml" ContentType="application/vnd.openxmlformats-officedocument.drawingml.diagramLayout+xml"/>
  <Override PartName="/xl/diagrams/quickStyle4.xml" ContentType="application/vnd.openxmlformats-officedocument.drawingml.diagramStyle+xml"/>
  <Override PartName="/xl/diagrams/colors4.xml" ContentType="application/vnd.openxmlformats-officedocument.drawingml.diagramColors+xml"/>
  <Override PartName="/xl/diagrams/drawing4.xml" ContentType="application/vnd.ms-office.drawingml.diagram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mc:AlternateContent xmlns:mc="http://schemas.openxmlformats.org/markup-compatibility/2006">
    <mc:Choice Requires="x15">
      <x15ac:absPath xmlns:x15ac="http://schemas.microsoft.com/office/spreadsheetml/2010/11/ac" url="H:\23\23138 - WZITS Tool Updates\Task 3 - Tool Development\Master Matrix Generator\"/>
    </mc:Choice>
  </mc:AlternateContent>
  <xr:revisionPtr revIDLastSave="0" documentId="13_ncr:1_{2AE0EF0F-DAAC-4CBD-823A-7AD1E80EED4B}" xr6:coauthVersionLast="45" xr6:coauthVersionMax="45" xr10:uidLastSave="{00000000-0000-0000-0000-000000000000}"/>
  <bookViews>
    <workbookView xWindow="-120" yWindow="-120" windowWidth="29040" windowHeight="15990" activeTab="1" xr2:uid="{00000000-000D-0000-FFFF-FFFF00000000}"/>
  </bookViews>
  <sheets>
    <sheet name="Feasibility Wizard" sheetId="15" r:id="rId1"/>
    <sheet name="Feasibility Matrix" sheetId="16" r:id="rId2"/>
    <sheet name="Application Wizard" sheetId="7" r:id="rId3"/>
    <sheet name="Application Matrix" sheetId="2" r:id="rId4"/>
    <sheet name="Goal Wizard" sheetId="11" r:id="rId5"/>
    <sheet name="Goal-Needs Matrix" sheetId="12" r:id="rId6"/>
    <sheet name="Stakeholders Wizard" sheetId="13" r:id="rId7"/>
    <sheet name="Stakeholders Matrix" sheetId="14" r:id="rId8"/>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61" i="15" l="1"/>
  <c r="B62" i="15"/>
  <c r="B63" i="15"/>
  <c r="B64" i="15"/>
  <c r="B65" i="15"/>
  <c r="B66" i="15"/>
  <c r="B67" i="15"/>
  <c r="B68" i="15"/>
  <c r="B69" i="15"/>
  <c r="B70" i="15"/>
  <c r="B60" i="15"/>
  <c r="B59" i="15"/>
  <c r="A34" i="14" l="1"/>
  <c r="A33" i="14"/>
  <c r="A32" i="14"/>
  <c r="A31" i="14"/>
  <c r="A30" i="14"/>
  <c r="A29" i="14"/>
  <c r="A28" i="14"/>
  <c r="A27" i="14"/>
  <c r="A26" i="14"/>
  <c r="A25" i="14"/>
  <c r="A24" i="14"/>
  <c r="A23" i="14"/>
  <c r="A22" i="14"/>
  <c r="A21" i="14"/>
  <c r="A20" i="14"/>
  <c r="A19" i="14"/>
  <c r="A18" i="14"/>
  <c r="A17" i="14"/>
  <c r="A16" i="14"/>
  <c r="A15" i="14"/>
  <c r="A14" i="14"/>
  <c r="A13" i="14"/>
  <c r="A12" i="14"/>
  <c r="A11" i="14"/>
  <c r="A10" i="14"/>
  <c r="A9" i="14"/>
  <c r="A8" i="14"/>
  <c r="A7" i="14"/>
  <c r="B77" i="13"/>
  <c r="B76" i="13"/>
  <c r="B75" i="13"/>
  <c r="B74" i="13"/>
  <c r="B73" i="13"/>
  <c r="B72" i="13"/>
  <c r="B71" i="13"/>
  <c r="B70" i="13"/>
  <c r="B69" i="13"/>
  <c r="B68" i="13"/>
  <c r="B67" i="13"/>
  <c r="B66" i="13"/>
  <c r="B65" i="13"/>
  <c r="B64" i="13"/>
  <c r="B63" i="13"/>
  <c r="B62" i="13"/>
  <c r="B61" i="13"/>
  <c r="B60" i="13"/>
  <c r="B59" i="13"/>
  <c r="B58" i="13"/>
  <c r="B57" i="13"/>
  <c r="B56" i="13"/>
  <c r="B55" i="13"/>
  <c r="B54" i="13"/>
  <c r="A29" i="12"/>
  <c r="A28" i="12"/>
  <c r="A27" i="12"/>
  <c r="A26" i="12"/>
  <c r="A25" i="12"/>
  <c r="A24" i="12"/>
  <c r="A23" i="12"/>
  <c r="A22" i="12"/>
  <c r="A21" i="12"/>
  <c r="A20" i="12"/>
  <c r="A19" i="12"/>
  <c r="A18" i="12"/>
  <c r="A17" i="12"/>
  <c r="A16" i="12"/>
  <c r="A15" i="12"/>
  <c r="A14" i="12"/>
  <c r="A13" i="12"/>
  <c r="A12" i="12"/>
  <c r="A11" i="12"/>
  <c r="A10" i="12"/>
  <c r="A9" i="12"/>
  <c r="M40" i="12" s="1"/>
  <c r="A8" i="12"/>
  <c r="A7" i="12"/>
  <c r="S40" i="12" s="1"/>
  <c r="B76" i="11"/>
  <c r="B75" i="11"/>
  <c r="B74" i="11"/>
  <c r="B73" i="11"/>
  <c r="B72" i="11"/>
  <c r="B71" i="11"/>
  <c r="B70" i="11"/>
  <c r="B69" i="11"/>
  <c r="B68" i="11"/>
  <c r="B67" i="11"/>
  <c r="B66" i="11"/>
  <c r="B65" i="11"/>
  <c r="B64" i="11"/>
  <c r="B63" i="11"/>
  <c r="B62" i="11"/>
  <c r="B61" i="11"/>
  <c r="B60" i="11"/>
  <c r="B59" i="11"/>
  <c r="B58" i="11"/>
  <c r="B57" i="11"/>
  <c r="B56" i="11"/>
  <c r="B55" i="11"/>
  <c r="B54" i="11"/>
  <c r="L36" i="2"/>
  <c r="K36" i="2"/>
  <c r="J36" i="2"/>
  <c r="I36" i="2"/>
  <c r="H36" i="2"/>
  <c r="G36" i="2"/>
  <c r="F36" i="2"/>
  <c r="E36" i="2"/>
  <c r="D36" i="2"/>
  <c r="L35" i="2"/>
  <c r="K35" i="2"/>
  <c r="J35" i="2"/>
  <c r="I35" i="2"/>
  <c r="H35" i="2"/>
  <c r="G35" i="2"/>
  <c r="F35" i="2"/>
  <c r="E35" i="2"/>
  <c r="D35" i="2"/>
  <c r="A31" i="2"/>
  <c r="A30" i="2"/>
  <c r="A29" i="2"/>
  <c r="A28" i="2"/>
  <c r="A27" i="2"/>
  <c r="A26" i="2"/>
  <c r="A25" i="2"/>
  <c r="A24" i="2"/>
  <c r="A23" i="2"/>
  <c r="A22" i="2"/>
  <c r="A21" i="2"/>
  <c r="A20" i="2"/>
  <c r="A19" i="2"/>
  <c r="A18" i="2"/>
  <c r="A17" i="2"/>
  <c r="A16" i="2"/>
  <c r="A15" i="2"/>
  <c r="A14" i="2"/>
  <c r="A13" i="2"/>
  <c r="A12" i="2"/>
  <c r="A11" i="2"/>
  <c r="A10" i="2"/>
  <c r="A9" i="2"/>
  <c r="A8" i="2"/>
  <c r="A7" i="2"/>
  <c r="A6" i="2"/>
  <c r="E79" i="7"/>
  <c r="B79" i="7"/>
  <c r="E78" i="7"/>
  <c r="B78" i="7"/>
  <c r="E77" i="7"/>
  <c r="B77" i="7"/>
  <c r="E76" i="7"/>
  <c r="B76" i="7"/>
  <c r="E75" i="7"/>
  <c r="B75" i="7"/>
  <c r="E74" i="7"/>
  <c r="B74" i="7"/>
  <c r="E73" i="7"/>
  <c r="B73" i="7"/>
  <c r="E72" i="7"/>
  <c r="B72" i="7"/>
  <c r="E71" i="7"/>
  <c r="B71" i="7"/>
  <c r="E70" i="7"/>
  <c r="B70" i="7"/>
  <c r="E69" i="7"/>
  <c r="B69" i="7"/>
  <c r="E68" i="7"/>
  <c r="B68" i="7"/>
  <c r="E67" i="7"/>
  <c r="B67" i="7"/>
  <c r="E66" i="7"/>
  <c r="B66" i="7"/>
  <c r="E65" i="7"/>
  <c r="B65" i="7"/>
  <c r="E64" i="7"/>
  <c r="B64" i="7"/>
  <c r="E63" i="7"/>
  <c r="B63" i="7"/>
  <c r="E62" i="7"/>
  <c r="B62" i="7"/>
  <c r="E61" i="7"/>
  <c r="B61" i="7"/>
  <c r="E60" i="7"/>
  <c r="B60" i="7"/>
  <c r="E59" i="7"/>
  <c r="B59" i="7"/>
  <c r="E58" i="7"/>
  <c r="B58" i="7"/>
  <c r="E57" i="7"/>
  <c r="B57" i="7"/>
  <c r="E56" i="7"/>
  <c r="B56" i="7"/>
  <c r="E55" i="7"/>
  <c r="B55" i="7"/>
  <c r="E54" i="7"/>
  <c r="B54" i="7"/>
  <c r="E53" i="7"/>
  <c r="B53" i="7"/>
  <c r="G34" i="16"/>
  <c r="I34" i="16" s="1"/>
  <c r="G33" i="16"/>
  <c r="I33" i="16" s="1"/>
  <c r="G32" i="16"/>
  <c r="I32" i="16" s="1"/>
  <c r="G31" i="16"/>
  <c r="I31" i="16" s="1"/>
  <c r="G30" i="16"/>
  <c r="I30" i="16" s="1"/>
  <c r="G29" i="16"/>
  <c r="I29" i="16" s="1"/>
  <c r="G28" i="16"/>
  <c r="I28" i="16" s="1"/>
  <c r="G27" i="16"/>
  <c r="I27" i="16" s="1"/>
  <c r="G26" i="16"/>
  <c r="I26" i="16" s="1"/>
  <c r="G25" i="16"/>
  <c r="I25" i="16" s="1"/>
  <c r="G24" i="16"/>
  <c r="I24" i="16" s="1"/>
  <c r="G23" i="16"/>
  <c r="I23" i="16" s="1"/>
  <c r="G21" i="16"/>
  <c r="I21" i="16" s="1"/>
  <c r="G20" i="16"/>
  <c r="I20" i="16" s="1"/>
  <c r="G19" i="16"/>
  <c r="I19" i="16" s="1"/>
  <c r="G18" i="16"/>
  <c r="I18" i="16" s="1"/>
  <c r="G16" i="16"/>
  <c r="I16" i="16" s="1"/>
  <c r="G15" i="16"/>
  <c r="I15" i="16" s="1"/>
  <c r="G14" i="16"/>
  <c r="I14" i="16" s="1"/>
  <c r="G12" i="16"/>
  <c r="I12" i="16" s="1"/>
  <c r="G11" i="16"/>
  <c r="I11" i="16" s="1"/>
  <c r="G10" i="16"/>
  <c r="I10" i="16" s="1"/>
  <c r="G8" i="16"/>
  <c r="I8" i="16" s="1"/>
  <c r="G7" i="16"/>
  <c r="I7" i="16" s="1"/>
  <c r="G6" i="16"/>
  <c r="I6" i="16" s="1"/>
  <c r="H14" i="16" l="1"/>
  <c r="H10" i="16"/>
  <c r="AB37" i="14"/>
  <c r="P37" i="14"/>
  <c r="G37" i="14"/>
  <c r="E37" i="14"/>
  <c r="H37" i="14"/>
  <c r="M37" i="14"/>
  <c r="O37" i="14"/>
  <c r="W37" i="14"/>
  <c r="AC37" i="14"/>
  <c r="U37" i="14"/>
  <c r="F37" i="14"/>
  <c r="N37" i="14"/>
  <c r="V37" i="14"/>
  <c r="X37" i="14"/>
  <c r="I37" i="14"/>
  <c r="Q37" i="14"/>
  <c r="Y37" i="14"/>
  <c r="J37" i="14"/>
  <c r="R37" i="14"/>
  <c r="Z37" i="14"/>
  <c r="K37" i="14"/>
  <c r="S37" i="14"/>
  <c r="AA37" i="14"/>
  <c r="L37" i="14"/>
  <c r="T37" i="14"/>
  <c r="J40" i="12"/>
  <c r="J39" i="12" s="1"/>
  <c r="G40" i="12"/>
  <c r="H40" i="12"/>
  <c r="T40" i="12"/>
  <c r="X40" i="12"/>
  <c r="I40" i="12"/>
  <c r="U40" i="12"/>
  <c r="V40" i="12"/>
  <c r="W40" i="12"/>
  <c r="L40" i="12"/>
  <c r="Y40" i="12"/>
  <c r="N40" i="12"/>
  <c r="P40" i="12"/>
  <c r="P39" i="12" s="1"/>
  <c r="E40" i="12"/>
  <c r="Q40" i="12"/>
  <c r="K40" i="12"/>
  <c r="Z40" i="12"/>
  <c r="O40" i="12"/>
  <c r="F40" i="12"/>
  <c r="F39" i="12" s="1"/>
  <c r="R40" i="12"/>
  <c r="H18" i="16"/>
  <c r="H23" i="16"/>
  <c r="H6" i="16"/>
  <c r="Y36" i="14" l="1"/>
  <c r="Q36" i="14"/>
  <c r="F36" i="14"/>
  <c r="S36" i="14"/>
  <c r="X36" i="14"/>
  <c r="AB36" i="14"/>
  <c r="W36" i="14"/>
  <c r="H36" i="14"/>
  <c r="AA36" i="14"/>
  <c r="V36" i="14"/>
  <c r="K36" i="14"/>
  <c r="O36" i="14"/>
  <c r="J36" i="14"/>
  <c r="G36" i="14"/>
  <c r="L36" i="14"/>
  <c r="AC36" i="14"/>
  <c r="E36" i="14"/>
  <c r="M36" i="14"/>
  <c r="T36" i="14"/>
  <c r="P36" i="14"/>
  <c r="N36" i="14"/>
  <c r="Z36" i="14"/>
  <c r="U36" i="14"/>
  <c r="R36" i="14"/>
  <c r="I36" i="14"/>
  <c r="U39" i="12"/>
  <c r="Y39" i="12"/>
  <c r="M39" i="12"/>
  <c r="L39" i="12"/>
  <c r="W39" i="12"/>
  <c r="N39" i="12"/>
  <c r="S39" i="12"/>
  <c r="R39" i="12"/>
  <c r="V39" i="12"/>
  <c r="O39" i="12"/>
  <c r="Z39" i="12"/>
  <c r="K39" i="12"/>
  <c r="T39" i="12"/>
  <c r="H39" i="12"/>
  <c r="I39" i="12"/>
  <c r="X39" i="12"/>
  <c r="Q39" i="12"/>
  <c r="E39" i="12"/>
  <c r="G39" i="12"/>
  <c r="H35" i="16"/>
  <c r="D40" i="16" s="1"/>
  <c r="B73" i="15" s="1"/>
</calcChain>
</file>

<file path=xl/sharedStrings.xml><?xml version="1.0" encoding="utf-8"?>
<sst xmlns="http://schemas.openxmlformats.org/spreadsheetml/2006/main" count="538" uniqueCount="295">
  <si>
    <t>1.1.1.1</t>
  </si>
  <si>
    <t>1.1.1.2</t>
  </si>
  <si>
    <t>1.1.2.1</t>
  </si>
  <si>
    <t>1.1.2.2</t>
  </si>
  <si>
    <t>1.1.3.1</t>
  </si>
  <si>
    <t>1.1.3.2</t>
  </si>
  <si>
    <t>1.1.3.3</t>
  </si>
  <si>
    <t>1.1.4.1</t>
  </si>
  <si>
    <t>1.1.4.2</t>
  </si>
  <si>
    <t>1.1.5.1</t>
  </si>
  <si>
    <t>1.1.5.2</t>
  </si>
  <si>
    <t>1.2.1</t>
  </si>
  <si>
    <t>1.2.2</t>
  </si>
  <si>
    <t>1.2.3</t>
  </si>
  <si>
    <t>1.2.4</t>
  </si>
  <si>
    <t>1.2.5</t>
  </si>
  <si>
    <t>1.3.1.1</t>
  </si>
  <si>
    <t>1.3.1.2</t>
  </si>
  <si>
    <t>1.3.1.3</t>
  </si>
  <si>
    <t>1.3.1.4</t>
  </si>
  <si>
    <t>1.3.2.1</t>
  </si>
  <si>
    <t>1.3.2.2</t>
  </si>
  <si>
    <t>1.3.2.3</t>
  </si>
  <si>
    <t>1.3.2.4</t>
  </si>
  <si>
    <t>1.3.2.5</t>
  </si>
  <si>
    <t>1.3.2.6</t>
  </si>
  <si>
    <t>1.3.2.7</t>
  </si>
  <si>
    <t>1.3.2.8</t>
  </si>
  <si>
    <t>1.3.2.9</t>
  </si>
  <si>
    <t>1.3.2.12</t>
  </si>
  <si>
    <t>1.3.2.13</t>
  </si>
  <si>
    <t>Question</t>
  </si>
  <si>
    <t>Step</t>
  </si>
  <si>
    <t>Is driver diversion expected onto alternate routes?</t>
  </si>
  <si>
    <t>Do you anticipate significant queuing as a result of this work zone?</t>
  </si>
  <si>
    <t>Are there specific agency policies for work zones?</t>
  </si>
  <si>
    <t>Does the agency have existing performance targets for work zone?</t>
  </si>
  <si>
    <t>Work zone expected area of impact?</t>
  </si>
  <si>
    <t>What is the functional classification of the associated roadway(s)?</t>
  </si>
  <si>
    <t>Will the work zone require lane closures?</t>
  </si>
  <si>
    <t>Is the associated roadway(s) maintained by the state, county, or city/town?</t>
  </si>
  <si>
    <t>Are there ped/bike routes impacted by the work zone?</t>
  </si>
  <si>
    <t>Is the work zone on a roadway that is part of a signalized / coordinated system?</t>
  </si>
  <si>
    <t>Yes</t>
  </si>
  <si>
    <t>Mobility Goal</t>
  </si>
  <si>
    <t>Safety Goal</t>
  </si>
  <si>
    <t>No</t>
  </si>
  <si>
    <t>Select from menu</t>
  </si>
  <si>
    <t>Users Response</t>
  </si>
  <si>
    <t>Score</t>
  </si>
  <si>
    <t>Work Zone ITS Implementation Tool</t>
  </si>
  <si>
    <t>For any questions or comments related to this wizard, please contact the project principal investigator, Dr. Bastian Schroeder with Kittelson and Associates, Inc., or the FHWA contract monitor, Mr. Todd Peterson</t>
  </si>
  <si>
    <t>Principal Investigator</t>
  </si>
  <si>
    <t>FHWA Contract Monitor</t>
  </si>
  <si>
    <t xml:space="preserve">Bastian J. Schroeder, Ph.D., P.E. </t>
  </si>
  <si>
    <t>Todd Peterson, P.E., PTOE</t>
  </si>
  <si>
    <t>Principal Engineer</t>
  </si>
  <si>
    <t>Transportation Specialist, Work Zone Management</t>
  </si>
  <si>
    <t xml:space="preserve">Kittelson and Associates, Inc. </t>
  </si>
  <si>
    <t>FHWA Office of Transportation Operations</t>
  </si>
  <si>
    <t>Bschroeder@Kittelson.com</t>
  </si>
  <si>
    <t>todd.peterson@dot.gov</t>
  </si>
  <si>
    <t>(910) 399-5570</t>
  </si>
  <si>
    <t>(202) 366-1988</t>
  </si>
  <si>
    <t>Will the work zone be included in the federally-mandated biannual process review?</t>
  </si>
  <si>
    <t>Application Wizard</t>
  </si>
  <si>
    <t>Will outreach and traveler information be used for this work zone?</t>
  </si>
  <si>
    <t>Is the work zone located on an emergency response corridor?</t>
  </si>
  <si>
    <t>Will lower speed limits be advised in the work zone?</t>
  </si>
  <si>
    <t>Is automated enforcement legal in your state?</t>
  </si>
  <si>
    <t>Will temporary ramp geometry constrain acceleration lanes?</t>
  </si>
  <si>
    <t>Is there a mobility goal?</t>
  </si>
  <si>
    <t>Queue Warning</t>
  </si>
  <si>
    <t>Real-time Traveler Information</t>
  </si>
  <si>
    <t>Incident Management</t>
  </si>
  <si>
    <t>Dynamic Lane Merge</t>
  </si>
  <si>
    <t>Variable Speed Limit</t>
  </si>
  <si>
    <t>Automated Enforcement</t>
  </si>
  <si>
    <t>Construction Vehicle Entrance/ Exit Warning</t>
  </si>
  <si>
    <t>Temporary Ramp Metering</t>
  </si>
  <si>
    <t>Performance Measurement</t>
  </si>
  <si>
    <t>Please answer each of the following users needs questions for critical project characteristics. If you are unsure of an answer, you can leave it blank. Based on the responses give, the Application Wizard Output table in the next worksheet will be updated automatically, and shows prioritized goals for consideration.</t>
  </si>
  <si>
    <t xml:space="preserve">The table below shows applicable work zone ITS based on the responses to data entered in the worsheet "1. Data Entry". The scoring is based on the factors in the "Application Matrix worksheet". </t>
  </si>
  <si>
    <t>Recommended WZITS Applications</t>
  </si>
  <si>
    <r>
      <rPr>
        <b/>
        <i/>
        <sz val="10"/>
        <color theme="0" tint="-0.499984740745262"/>
        <rFont val="Calibri"/>
        <family val="2"/>
        <scheme val="minor"/>
      </rPr>
      <t>Disclaimer:</t>
    </r>
    <r>
      <rPr>
        <i/>
        <sz val="10"/>
        <color theme="0" tint="-0.499984740745262"/>
        <rFont val="Calibri"/>
        <family val="2"/>
        <scheme val="minor"/>
      </rPr>
      <t xml:space="preserve"> This worksheet is an interim product for FHWA Office of Operations Project: DTFH61-12-D-00049 Task Order 5003 - Work Zone ITS Implementation Tool. The tool should be used solely for the purpose of beta testing by FHWA and select stakeholder states.</t>
    </r>
  </si>
  <si>
    <r>
      <t xml:space="preserve">The </t>
    </r>
    <r>
      <rPr>
        <i/>
        <sz val="11"/>
        <color theme="5" tint="-0.249977111117893"/>
        <rFont val="Calibri"/>
        <family val="2"/>
        <scheme val="minor"/>
      </rPr>
      <t xml:space="preserve">Application Wizard </t>
    </r>
    <r>
      <rPr>
        <sz val="11"/>
        <color theme="5" tint="-0.249977111117893"/>
        <rFont val="Calibri"/>
        <family val="2"/>
        <scheme val="minor"/>
      </rPr>
      <t xml:space="preserve">is part of
</t>
    </r>
    <r>
      <rPr>
        <b/>
        <sz val="11"/>
        <color theme="5" tint="-0.249977111117893"/>
        <rFont val="Calibri"/>
        <family val="2"/>
        <scheme val="minor"/>
      </rPr>
      <t xml:space="preserve">Step 2: Concept Development and Feasibility
</t>
    </r>
    <r>
      <rPr>
        <sz val="11"/>
        <color theme="5" tint="-0.249977111117893"/>
        <rFont val="Calibri"/>
        <family val="2"/>
        <scheme val="minor"/>
      </rPr>
      <t>in the WZITS Implementation Guide</t>
    </r>
  </si>
  <si>
    <t>Steps</t>
  </si>
  <si>
    <t>Questions and Comments</t>
  </si>
  <si>
    <r>
      <t xml:space="preserve">This worksheet contains the beta version of the WZITS </t>
    </r>
    <r>
      <rPr>
        <i/>
        <sz val="10"/>
        <color theme="1"/>
        <rFont val="Calibri"/>
        <family val="2"/>
        <scheme val="minor"/>
      </rPr>
      <t>Application Wizard</t>
    </r>
    <r>
      <rPr>
        <sz val="10"/>
        <color theme="1"/>
        <rFont val="Calibri"/>
        <family val="2"/>
        <scheme val="minor"/>
      </rPr>
      <t>. The objective of this tool is to assist an analyst in identifying potential WZITS strategies based on a series of user needs questions about the work zone effort under evaluation. Based on the answers to these questions, the wizard will be updated automatically, and shows prioritized WZITS applications for consideration.</t>
    </r>
  </si>
  <si>
    <t>This worksheet contains the underling
WZITS Application Scoring Matrix. The Yellow backgrounded cells can be edited by the user. The user also can change the numbers (0 and 1) in the matrix. Number 1 means that the associated user need will require associated goal.</t>
  </si>
  <si>
    <t>1. In worksheet "1. Data Entry" answer the questions from the drop-down menus</t>
  </si>
  <si>
    <t>2. In worksheet "2. Application Wizard Output" view prioritized list of WZITS Applications</t>
  </si>
  <si>
    <t>Will this work zone involve peak-hour lane closures?</t>
  </si>
  <si>
    <t>Will this work zone involve off-peak lane closures?</t>
  </si>
  <si>
    <t>Mobility</t>
  </si>
  <si>
    <t>Productivity</t>
  </si>
  <si>
    <t>Regulatory</t>
  </si>
  <si>
    <t>Traveler Information</t>
  </si>
  <si>
    <t>Safety</t>
  </si>
  <si>
    <t>Will this work zone have reduced lane widths or reduced sight distance impact?</t>
  </si>
  <si>
    <t>Will work zone activities disable ramp meters (Select No if not applicable)?</t>
  </si>
  <si>
    <t>Will this work zone be active during the day?</t>
  </si>
  <si>
    <t>Do you expect the work zone to cause V/C to be greater than 1.0 during peak periods?</t>
  </si>
  <si>
    <t>Do you expect the work zone to cause V/C to be greater than 1.0 during off-peak periods?</t>
  </si>
  <si>
    <t>Will the work zone result in closure of emergency shoulders?</t>
  </si>
  <si>
    <t>Does the corridor have a frequent crash problem?</t>
  </si>
  <si>
    <t>Will construction vehicles access site from travel lanes?</t>
  </si>
  <si>
    <t>Are there ramps or construction access points with vertical or horizontal sight distance restrictions?</t>
  </si>
  <si>
    <t>Will there be a high volume of construction vehicles requiring access to the work zone?</t>
  </si>
  <si>
    <t>Will any exisiting ITS devices be incorporated into the smart work zone?</t>
  </si>
  <si>
    <t>Does the agency have existing performance targets for work zones?</t>
  </si>
  <si>
    <t>1. Data Entry</t>
  </si>
  <si>
    <t>2. Application Wizard Output</t>
  </si>
  <si>
    <t>Goal Wizard</t>
  </si>
  <si>
    <r>
      <t xml:space="preserve">This worksheet contains the beta version of the WZITS </t>
    </r>
    <r>
      <rPr>
        <i/>
        <sz val="10"/>
        <color theme="1"/>
        <rFont val="Calibri"/>
        <family val="2"/>
        <scheme val="minor"/>
      </rPr>
      <t>Goal Wizard</t>
    </r>
    <r>
      <rPr>
        <sz val="10"/>
        <color theme="1"/>
        <rFont val="Calibri"/>
        <family val="2"/>
        <scheme val="minor"/>
      </rPr>
      <t>. The objective of this tool is to assist an analyst in identifying SMART Goals for a WZITS deployment, based on a series of user needs questions about the work zone effort under evaluation. Based on the answers to these questions, the wizard will be updated automatically, and shows prioritized WZITS goals for consideration.</t>
    </r>
  </si>
  <si>
    <r>
      <t xml:space="preserve">The </t>
    </r>
    <r>
      <rPr>
        <i/>
        <sz val="11"/>
        <color theme="5" tint="-0.249977111117893"/>
        <rFont val="Calibri"/>
        <family val="2"/>
        <scheme val="minor"/>
      </rPr>
      <t xml:space="preserve">Goal Wizard </t>
    </r>
    <r>
      <rPr>
        <sz val="11"/>
        <color theme="5" tint="-0.249977111117893"/>
        <rFont val="Calibri"/>
        <family val="2"/>
        <scheme val="minor"/>
      </rPr>
      <t xml:space="preserve">is part of
</t>
    </r>
    <r>
      <rPr>
        <b/>
        <sz val="11"/>
        <color theme="5" tint="-0.249977111117893"/>
        <rFont val="Calibri"/>
        <family val="2"/>
        <scheme val="minor"/>
      </rPr>
      <t xml:space="preserve">Step 1: Assessment of Needs
</t>
    </r>
    <r>
      <rPr>
        <sz val="11"/>
        <color theme="5" tint="-0.249977111117893"/>
        <rFont val="Calibri"/>
        <family val="2"/>
        <scheme val="minor"/>
      </rPr>
      <t>in the WZITS Implementation Guide</t>
    </r>
  </si>
  <si>
    <t>2. In worksheet "Goal Wizard Output" view prioritized list of WZITS Goals</t>
  </si>
  <si>
    <t>Please answer each of the following users needs questions. If you are unsure of an answer, you can leave it blank. Based on the responses give, the Goal Wizard Output table in the next worksheet will be updated automatically, and shows prioritized goals for consideration.</t>
  </si>
  <si>
    <t>User Needs Questions</t>
  </si>
  <si>
    <t>This worksheet contains the underling
Goal-Needs Scoring Matrix. The Yellow backgrounded cells can be edited by the user. The user also can change the numbers (0 and 1) in the matrix. Number 1 means that the associated user need will require associated goal.</t>
  </si>
  <si>
    <t>Reduce daily peak period delays to XX minutes</t>
  </si>
  <si>
    <t>Facilitate the movement of emergency and construction vehicles through the work zone</t>
  </si>
  <si>
    <t>Reduce the number of single-vehicle trips through the work zone</t>
  </si>
  <si>
    <t>Reduce variability of travel times</t>
  </si>
  <si>
    <t>Reduce rear-end crashes</t>
  </si>
  <si>
    <t>Reduce secondary incidents</t>
  </si>
  <si>
    <t>Reduce Incident Clearance Times</t>
  </si>
  <si>
    <t>Work toward zero work zone fatalities</t>
  </si>
  <si>
    <t>Provide a safe environment for roadway users and worker safety</t>
  </si>
  <si>
    <t>Minimize delays in construction vehicle access to the work zone</t>
  </si>
  <si>
    <t>Provide an egress from work zone for haul vehicles</t>
  </si>
  <si>
    <t>Monitor work zone operations and safety performance in real-time</t>
  </si>
  <si>
    <t>Monitor alternative route operations and safety performance in real-time</t>
  </si>
  <si>
    <t>Optimize contractor work periods</t>
  </si>
  <si>
    <t>Provide roadway users real-time work zone information</t>
  </si>
  <si>
    <t>Provide roadway users real-time alternate route information</t>
  </si>
  <si>
    <t>Productivity Goal</t>
  </si>
  <si>
    <t>Regulatory Goal</t>
  </si>
  <si>
    <t>Traveler Information Goal</t>
  </si>
  <si>
    <t xml:space="preserve">   </t>
  </si>
  <si>
    <t>1. Reduce daily peak period delays to XX minutes</t>
  </si>
  <si>
    <t>2. Facilitate the movement of emergency and construction vehicles through the work zone</t>
  </si>
  <si>
    <t>4. Reduce variability of travel times</t>
  </si>
  <si>
    <t>3. Reduce the number of single-vehicle trips through the work zone</t>
  </si>
  <si>
    <t xml:space="preserve">The table below shows recommended WZITS goals based on the responses to data entered in the worsheet "1. User Needs Entry". The scoring is based on the factors in the "Goal-Needs Matrix worksheet". </t>
  </si>
  <si>
    <t>Category</t>
  </si>
  <si>
    <t>Recommended User Goals by WZITS Tool</t>
  </si>
  <si>
    <t>Mobility Goals</t>
  </si>
  <si>
    <t>Safety Goals</t>
  </si>
  <si>
    <t>Productivity Goals</t>
  </si>
  <si>
    <t>Regulatory Goals</t>
  </si>
  <si>
    <t>Traveler Information Goals</t>
  </si>
  <si>
    <t>Will this work zone have reduced lane widths?</t>
  </si>
  <si>
    <t>Wil transit vehicles need to travel through the work zone?</t>
  </si>
  <si>
    <t>Will there be a high volume of construction vehicles requiring to access the work zone?</t>
  </si>
  <si>
    <t>Will the shoulder in this work zone be eliminated (to where break downs and crashes cannot be accommodated)?</t>
  </si>
  <si>
    <t>Will speed limits in the work zone be lowered compared to base conditions?</t>
  </si>
  <si>
    <t>Does state law allow use of automated speed enforcement in work zones?</t>
  </si>
  <si>
    <t>Will ramp geometry under work zone conditions constrain acceleration lanes?</t>
  </si>
  <si>
    <t>Will work zone activities disable ramp meters (if applicable)?</t>
  </si>
  <si>
    <t>Stakeholders Wizard</t>
  </si>
  <si>
    <t>This worksheet contains the beta version of the WZITS Stakeholders Wizard. The objective of this tool is to assist an analyst in identifying Stakeholders for a WZITS deployment, based on a series of user needs questions about the work zone effort under evaluation. Based on the answers to these questions, the wizard will be updated automatically, and shows prioritized  Stakeholderss for consideration.</t>
  </si>
  <si>
    <t>The Stakeholders Wizard is part of
Step 1: Assessment of Needs
in the WZITS Implementation Guide</t>
  </si>
  <si>
    <t>2. In worksheet "Stakeholders Wizard Output" view prioritized list of WZITS Stakeholderss</t>
  </si>
  <si>
    <t>Please answer each of the following questions. If you are unsure of an answer, you can leave it blank. Based on the responses give, the Stakeholders Wizard Output table in the next worksheet will be updated automatically, and shows prioritized Stakeholders for consideration.</t>
  </si>
  <si>
    <t>This worksheet contains the underling
Stakeholders Scoring Matrix. The Yellow backgrounded cells can be edited by the user. The user also can change the numbers. Number 0 means "no affiliation", number 1 means "minor consideration" and number 2 means "major consideration".</t>
  </si>
  <si>
    <t>IF</t>
  </si>
  <si>
    <t>State DOT</t>
  </si>
  <si>
    <t>County transportation agency</t>
  </si>
  <si>
    <t>City transportation agency</t>
  </si>
  <si>
    <t>MPO</t>
  </si>
  <si>
    <t>Transit agency</t>
  </si>
  <si>
    <t>FHWA Division Office</t>
  </si>
  <si>
    <t>Service patrol/Contractors</t>
  </si>
  <si>
    <t>Construction contractors</t>
  </si>
  <si>
    <t>Local police/Sheriff</t>
  </si>
  <si>
    <t>State police</t>
  </si>
  <si>
    <t>Fire department</t>
  </si>
  <si>
    <t>EMS</t>
  </si>
  <si>
    <t>Local businesses</t>
  </si>
  <si>
    <t>Shopping centers</t>
  </si>
  <si>
    <t>Commercial trucking companies</t>
  </si>
  <si>
    <t>Motorists</t>
  </si>
  <si>
    <t>Media</t>
  </si>
  <si>
    <t>Local residents</t>
  </si>
  <si>
    <t>Public officials</t>
  </si>
  <si>
    <t>Incident management agencies</t>
  </si>
  <si>
    <t>Special event venue</t>
  </si>
  <si>
    <t>Schools/ Universities</t>
  </si>
  <si>
    <t>Convention/ Visitors Bureau</t>
  </si>
  <si>
    <t>Ped-Bike Coordinator / Advocacy Group</t>
  </si>
  <si>
    <t>Traffic Management Center</t>
  </si>
  <si>
    <t>NO SCORING</t>
  </si>
  <si>
    <t>Freeway</t>
  </si>
  <si>
    <t>Arterial</t>
  </si>
  <si>
    <t>Local</t>
  </si>
  <si>
    <t>State</t>
  </si>
  <si>
    <t>County</t>
  </si>
  <si>
    <t>City/Town</t>
  </si>
  <si>
    <t>Other</t>
  </si>
  <si>
    <t>What agency is responsible for responding to incidents/patrolling the roadway?</t>
  </si>
  <si>
    <t>Local Police/Sheriff</t>
  </si>
  <si>
    <t>State Police</t>
  </si>
  <si>
    <t>Service Patrol or Contractor</t>
  </si>
  <si>
    <t>2.5.5</t>
  </si>
  <si>
    <t>Is there a concern the work zone will cause unwanted diversion onto local roads?</t>
  </si>
  <si>
    <t>Is there a safety goal?</t>
  </si>
  <si>
    <t>Is there a productivity goal?</t>
  </si>
  <si>
    <t>Is there a regulatory goal?</t>
  </si>
  <si>
    <t>Is there a traveler information goal?</t>
  </si>
  <si>
    <t xml:space="preserve">The table below shows recommended WZITS goals based on the responses to data entered in the worsheet "1. User Needs Entry". The scoring is based on the factors in the "Stakeholders Matrix worksheet". </t>
  </si>
  <si>
    <t>Recommended Stakeholders by WZITS Tool</t>
  </si>
  <si>
    <t>2. Goal Wizard Ouput</t>
  </si>
  <si>
    <t>Stakeholders Wizard Output</t>
  </si>
  <si>
    <t>Feasibility Wizard</t>
  </si>
  <si>
    <r>
      <t xml:space="preserve">This worksheet contains the beta version of the WZITS </t>
    </r>
    <r>
      <rPr>
        <i/>
        <sz val="11"/>
        <color theme="1"/>
        <rFont val="Calibri"/>
        <family val="2"/>
        <scheme val="minor"/>
      </rPr>
      <t>Feasibility Wizard</t>
    </r>
    <r>
      <rPr>
        <sz val="11"/>
        <color theme="1"/>
        <rFont val="Calibri"/>
        <family val="2"/>
        <scheme val="minor"/>
      </rPr>
      <t>. The objective of this tool is to assist an analyst in identifying potential WZITS strategies based on a series of user needs questions about the work zone effort under evaluation. Based on the answers to these questions, the wizard will be updated automatically, and shows prioritized WZITS applications for consideration.</t>
    </r>
  </si>
  <si>
    <t>1. In worksheet "1. Data Entry" answer questions from the drop-down menus</t>
  </si>
  <si>
    <t>2. In worksheet "2. Feasibility Wizard Output" view detailed scoring results</t>
  </si>
  <si>
    <t>Please answer each of the following work zone ITS feasibility questions from the corresponding drop-down menus. Based on the responses given, the Feasibility Wizard will make a recommendation about how feasible the use of WZITS is for the present work zone. The worksheet “2. Feasibility Data Table” contains more detailed results, and can here scores can be customized by the user.</t>
  </si>
  <si>
    <t>Feasibilty Questions</t>
  </si>
  <si>
    <t>User Response</t>
  </si>
  <si>
    <t>1. What is the duration of long-term stationary work?</t>
  </si>
  <si>
    <t>2. To what extent will users be impacted for the duration of the work zone?</t>
  </si>
  <si>
    <t>3. How long are queues expected to extend?</t>
  </si>
  <si>
    <t>4. During which time periods listed below are unreasonable traffic impacts
expected to occur?</t>
  </si>
  <si>
    <t>5. How many of the following issues are expected to occur? (Select all that apply)</t>
  </si>
  <si>
    <t>WZ ITS Tool's Recommendation</t>
  </si>
  <si>
    <t>This worksheet contains the underling WZITS Feasibility Matrix. The Yellow backgrounded cells can be edited
by the user to reflect custom scores for a specific question.</t>
  </si>
  <si>
    <t>Criteria</t>
  </si>
  <si>
    <t>Answer</t>
  </si>
  <si>
    <t>Response</t>
  </si>
  <si>
    <t>Points</t>
  </si>
  <si>
    <t>Duration of work zone</t>
  </si>
  <si>
    <t xml:space="preserve">&gt;1 construction season </t>
  </si>
  <si>
    <t>4-10 months</t>
  </si>
  <si>
    <t>&lt;4 months</t>
  </si>
  <si>
    <t>Impact to traffic, businesses, other destinations, or other users (e.g. extremely long delays, high risk of speed variability, access issues)</t>
  </si>
  <si>
    <t>To what extent will users be impacted for the duration of the work zone?</t>
  </si>
  <si>
    <t>Significant</t>
  </si>
  <si>
    <t>Moderate</t>
  </si>
  <si>
    <t>Minimal</t>
  </si>
  <si>
    <t>Queuing and delay</t>
  </si>
  <si>
    <t>How long are queues expected to extend?</t>
  </si>
  <si>
    <t>At least 2 miles for at least 2 hours per day</t>
  </si>
  <si>
    <t>1-2 miles for 1-2 hours per day</t>
  </si>
  <si>
    <t>Less than one mile for less than one hour per day</t>
  </si>
  <si>
    <t>Temporal Aspects of Traffic Impacts</t>
  </si>
  <si>
    <t xml:space="preserve">More than morning and afternoon peak hours in both directions </t>
  </si>
  <si>
    <t>During most of the morning and afternoon peak hours in either direction</t>
  </si>
  <si>
    <t>During most of a single peak hour in a single direction</t>
  </si>
  <si>
    <t>Unpredictable</t>
  </si>
  <si>
    <t>Specific Issues</t>
  </si>
  <si>
    <t>How many of the following issues are expected to occur? (Select all that apply)</t>
  </si>
  <si>
    <t>30 or more</t>
  </si>
  <si>
    <t>ITS is likely to provide significant benefits and should be considered as a treatment to mitigate impacts</t>
  </si>
  <si>
    <t>10 to 29</t>
  </si>
  <si>
    <t>ITS may provide some benefits and should be considered as a treatment to mitigate impacts</t>
  </si>
  <si>
    <t>less than 10</t>
  </si>
  <si>
    <t>ITS may not provide enough benefit to justify the associated costs</t>
  </si>
  <si>
    <t xml:space="preserve">Feasibility: </t>
  </si>
  <si>
    <t>QID</t>
  </si>
  <si>
    <t>Goal Category</t>
  </si>
  <si>
    <t>What is the duration of long-term stationary work?</t>
  </si>
  <si>
    <t xml:space="preserve">Do you expect congestion impacts to be noticeable to roadway users? </t>
  </si>
  <si>
    <t>Will this work zone result in reduced sight distances that impact roadway users?</t>
  </si>
  <si>
    <t>Are there specific agency policies for work zones as required by the work zone safety and mobility rule?</t>
  </si>
  <si>
    <t>Is additional data collection needed before and/or during construction for work zone performance measures?</t>
  </si>
  <si>
    <t>Do you expect congestion impacts to be noticeable to drivers?</t>
  </si>
  <si>
    <t>Are there schools or universities in the area?</t>
  </si>
  <si>
    <t>Do you expect a high percentage of tourists or unfamiliar drivers using the routes?</t>
  </si>
  <si>
    <t>Is there a special event venue nearby?</t>
  </si>
  <si>
    <t>Does a transit line run parallel to the work zone?</t>
  </si>
  <si>
    <t>Are there other work zones in the area?</t>
  </si>
  <si>
    <t>Is the work zone located on a priority route for an emergency response system?</t>
  </si>
  <si>
    <t>Are there local businesses/shopping centers located near the work zone?</t>
  </si>
  <si>
    <t>Will there be restrictions to side streets?</t>
  </si>
  <si>
    <t>Is this a freight or shipping corridor?</t>
  </si>
  <si>
    <t>During which time periods are noticeable traffic impacts expected to occur?</t>
  </si>
  <si>
    <t>Is traffic speed variability expected to occur?</t>
  </si>
  <si>
    <t>Do you expect back of queue and other sight distance issues?</t>
  </si>
  <si>
    <t>Are high speeds/chronic speeding expected to occur?</t>
  </si>
  <si>
    <t>Are merging conflicts and hazards at work zone tapers expected to occur?</t>
  </si>
  <si>
    <t>Do you expect the work zone layout to cause driver vonfusion or trouble wayfinding?</t>
  </si>
  <si>
    <t>Will frequently changing operating conditions for traffic be used?</t>
  </si>
  <si>
    <t>Will variable work activities occur?</t>
  </si>
  <si>
    <t>Are oversize vehicles expected?</t>
  </si>
  <si>
    <t>Do you expect a contruction vehicle entry/exit speed differential relative to traffic?</t>
  </si>
  <si>
    <t>Will data be collected for work zone performance measures?</t>
  </si>
  <si>
    <t>Do you expect any unusual or unpredictable weather patterns to occur?</t>
  </si>
  <si>
    <t>3. In the adjacent tab "Feasibility Matrix" edit the yellow-highlighted scoring criteria to fit agency-specific needs and objectives for WZITS. Then follow the instructions at the top to generate a new scoring matrix for use by the WZITS Tool if desired.</t>
  </si>
  <si>
    <t>3. In the adjacent tab "Application Matrix" edit the scoring criteria to fit agency-specific needs and objectives for WZITS. Then follow the instructions at the top to generate a new scoring matrix for use by the WZITS Tool if desired.</t>
  </si>
  <si>
    <t>3. In the adjacent tab "Goal-Needs Matrix" edit the scoring criteria to fit agency-specific needs and objectives for WZITS. Then follow the instructions at the top to generate a new scoring matrix for use by the WZITS Tool if desired.</t>
  </si>
  <si>
    <t>3. In the adjacent tab "Stakeholders Matrix" edit the scoring criteria to fit agency-specific needs and objectives for WZITS. Then follow the instructions at the top to generate a new scoring matrix for use by the WZITS Tool if desired.</t>
  </si>
  <si>
    <r>
      <t xml:space="preserve">Use the </t>
    </r>
    <r>
      <rPr>
        <b/>
        <sz val="11"/>
        <color theme="1"/>
        <rFont val="Calibri"/>
        <family val="2"/>
        <scheme val="minor"/>
      </rPr>
      <t>Export</t>
    </r>
    <r>
      <rPr>
        <sz val="11"/>
        <color theme="1"/>
        <rFont val="Calibri"/>
        <family val="2"/>
        <scheme val="minor"/>
      </rPr>
      <t xml:space="preserve"> button to generate a custom scoring matrix for the standalone WZITS Tool.  If there is a valid installation of the WZITS Tool (Version 2 or higher) on the computer, the matrix will be automatically created as a resource file for the tool. Any changes will be reflected once the WZITS tool is next opened.</t>
    </r>
  </si>
  <si>
    <r>
      <t xml:space="preserve">Use the </t>
    </r>
    <r>
      <rPr>
        <b/>
        <sz val="14"/>
        <rFont val="Calibri"/>
        <family val="2"/>
        <scheme val="minor"/>
      </rPr>
      <t>Export</t>
    </r>
    <r>
      <rPr>
        <sz val="14"/>
        <rFont val="Calibri"/>
        <family val="2"/>
        <scheme val="minor"/>
      </rPr>
      <t xml:space="preserve"> button to generate a custom scoring matrix for the standalone WZITS Tool.  If there is a valid installation of the WZITS Tool (Version 2 or higher) on the computer, the matrix will be automatically created as a resource file for the tool. Any changes will be reflected once the WZITS tool is next opened.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</si>
</sst>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x14ac:knownFonts="1">
    <font>
      <sz val="11"/>
      <color theme="1"/>
      <name val="Calibri"/>
      <family val="2"/>
      <scheme val="minor"/>
    </font>
    <font>
      <sz val="11"/>
      <color theme="1"/>
      <name val="Calibri"/>
      <family val="2"/>
      <scheme val="minor"/>
    </font>
    <font>
      <b/>
      <sz val="11"/>
      <color theme="1"/>
      <name val="Calibri"/>
      <family val="2"/>
      <scheme val="minor"/>
    </font>
    <font>
      <b/>
      <sz val="16"/>
      <color theme="1"/>
      <name val="Calibri"/>
      <family val="2"/>
      <scheme val="minor"/>
    </font>
    <font>
      <b/>
      <sz val="20"/>
      <color theme="1"/>
      <name val="Calibri"/>
      <family val="2"/>
      <scheme val="minor"/>
    </font>
    <font>
      <b/>
      <sz val="14"/>
      <color theme="1"/>
      <name val="Calibri"/>
      <family val="2"/>
      <scheme val="minor"/>
    </font>
    <font>
      <sz val="11"/>
      <color theme="0"/>
      <name val="Calibri"/>
      <family val="2"/>
      <scheme val="minor"/>
    </font>
    <font>
      <sz val="18"/>
      <color theme="1"/>
      <name val="Calibri"/>
      <family val="2"/>
      <scheme val="minor"/>
    </font>
    <font>
      <i/>
      <sz val="11"/>
      <color theme="1"/>
      <name val="Calibri"/>
      <family val="2"/>
      <scheme val="minor"/>
    </font>
    <font>
      <u/>
      <sz val="11"/>
      <color theme="10"/>
      <name val="Calibri"/>
      <family val="2"/>
      <scheme val="minor"/>
    </font>
    <font>
      <b/>
      <sz val="16"/>
      <color theme="0"/>
      <name val="Calibri"/>
      <family val="2"/>
      <scheme val="minor"/>
    </font>
    <font>
      <b/>
      <sz val="14"/>
      <color theme="0"/>
      <name val="Calibri"/>
      <family val="2"/>
      <scheme val="minor"/>
    </font>
    <font>
      <sz val="14"/>
      <color theme="0"/>
      <name val="Calibri"/>
      <family val="2"/>
      <scheme val="minor"/>
    </font>
    <font>
      <sz val="36"/>
      <color theme="0"/>
      <name val="Calibri"/>
      <family val="2"/>
      <scheme val="minor"/>
    </font>
    <font>
      <sz val="22"/>
      <color theme="0"/>
      <name val="Calibri"/>
      <family val="2"/>
      <scheme val="minor"/>
    </font>
    <font>
      <i/>
      <sz val="10"/>
      <color theme="0" tint="-0.499984740745262"/>
      <name val="Calibri"/>
      <family val="2"/>
      <scheme val="minor"/>
    </font>
    <font>
      <b/>
      <i/>
      <sz val="10"/>
      <color theme="0" tint="-0.499984740745262"/>
      <name val="Calibri"/>
      <family val="2"/>
      <scheme val="minor"/>
    </font>
    <font>
      <sz val="11"/>
      <color theme="5" tint="-0.249977111117893"/>
      <name val="Calibri"/>
      <family val="2"/>
      <scheme val="minor"/>
    </font>
    <font>
      <i/>
      <sz val="11"/>
      <color theme="5" tint="-0.249977111117893"/>
      <name val="Calibri"/>
      <family val="2"/>
      <scheme val="minor"/>
    </font>
    <font>
      <b/>
      <sz val="11"/>
      <color theme="5" tint="-0.249977111117893"/>
      <name val="Calibri"/>
      <family val="2"/>
      <scheme val="minor"/>
    </font>
    <font>
      <sz val="10"/>
      <color theme="1"/>
      <name val="Calibri"/>
      <family val="2"/>
      <scheme val="minor"/>
    </font>
    <font>
      <i/>
      <sz val="10"/>
      <color theme="1"/>
      <name val="Calibri"/>
      <family val="2"/>
      <scheme val="minor"/>
    </font>
    <font>
      <sz val="28"/>
      <color theme="0"/>
      <name val="Calibri"/>
      <family val="2"/>
      <scheme val="minor"/>
    </font>
    <font>
      <b/>
      <sz val="12"/>
      <color theme="8"/>
      <name val="Calibri"/>
      <family val="2"/>
      <scheme val="minor"/>
    </font>
    <font>
      <b/>
      <sz val="12"/>
      <color theme="0"/>
      <name val="Calibri"/>
      <family val="2"/>
      <scheme val="minor"/>
    </font>
    <font>
      <b/>
      <sz val="11"/>
      <color theme="0"/>
      <name val="Calibri"/>
      <family val="2"/>
      <scheme val="minor"/>
    </font>
    <font>
      <i/>
      <sz val="9"/>
      <color theme="1"/>
      <name val="Calibri"/>
      <family val="2"/>
      <scheme val="minor"/>
    </font>
    <font>
      <sz val="14"/>
      <name val="Calibri"/>
      <family val="2"/>
      <scheme val="minor"/>
    </font>
    <font>
      <b/>
      <sz val="22"/>
      <color theme="0"/>
      <name val="Calibri"/>
      <family val="2"/>
      <scheme val="minor"/>
    </font>
    <font>
      <b/>
      <sz val="10"/>
      <color theme="1"/>
      <name val="Calibri"/>
      <family val="2"/>
      <scheme val="minor"/>
    </font>
    <font>
      <sz val="11"/>
      <color rgb="FF000000"/>
      <name val="Calibri"/>
      <family val="2"/>
    </font>
    <font>
      <b/>
      <sz val="14"/>
      <name val="Calibri"/>
      <family val="2"/>
      <scheme val="minor"/>
    </font>
  </fonts>
  <fills count="19">
    <fill>
      <patternFill patternType="none"/>
    </fill>
    <fill>
      <patternFill patternType="gray125"/>
    </fill>
    <fill>
      <patternFill patternType="solid">
        <fgColor theme="0"/>
        <bgColor indexed="64"/>
      </patternFill>
    </fill>
    <fill>
      <patternFill patternType="solid">
        <fgColor theme="6" tint="0.59999389629810485"/>
        <bgColor indexed="64"/>
      </patternFill>
    </fill>
    <fill>
      <patternFill patternType="solid">
        <fgColor theme="9"/>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499984740745262"/>
        <bgColor indexed="64"/>
      </patternFill>
    </fill>
    <fill>
      <patternFill patternType="solid">
        <fgColor theme="5"/>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8"/>
        <bgColor indexed="64"/>
      </patternFill>
    </fill>
    <fill>
      <patternFill patternType="solid">
        <fgColor theme="4"/>
        <bgColor indexed="64"/>
      </patternFill>
    </fill>
    <fill>
      <patternFill patternType="solid">
        <fgColor theme="4" tint="0.79998168889431442"/>
        <bgColor indexed="64"/>
      </patternFill>
    </fill>
    <fill>
      <patternFill patternType="solid">
        <fgColor theme="4" tint="0.79998168889431442"/>
        <bgColor indexed="65"/>
      </patternFill>
    </fill>
    <fill>
      <patternFill patternType="solid">
        <fgColor theme="5" tint="0.79998168889431442"/>
        <bgColor indexed="64"/>
      </patternFill>
    </fill>
    <fill>
      <patternFill patternType="solid">
        <fgColor theme="5" tint="0.39997558519241921"/>
        <bgColor indexed="64"/>
      </patternFill>
    </fill>
    <fill>
      <patternFill patternType="solid">
        <fgColor rgb="FFFFFF00"/>
        <bgColor indexed="64"/>
      </patternFill>
    </fill>
    <fill>
      <patternFill patternType="solid">
        <fgColor theme="2"/>
        <bgColor indexed="64"/>
      </patternFill>
    </fill>
  </fills>
  <borders count="36">
    <border>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theme="0"/>
      </left>
      <right/>
      <top/>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right style="medium">
        <color theme="0"/>
      </right>
      <top/>
      <bottom/>
      <diagonal/>
    </border>
    <border>
      <left style="medium">
        <color theme="0"/>
      </left>
      <right style="medium">
        <color theme="0"/>
      </right>
      <top style="medium">
        <color theme="0"/>
      </top>
      <bottom/>
      <diagonal/>
    </border>
    <border>
      <left style="medium">
        <color theme="0"/>
      </left>
      <right style="medium">
        <color theme="0"/>
      </right>
      <top/>
      <bottom/>
      <diagonal/>
    </border>
    <border>
      <left style="medium">
        <color theme="0"/>
      </left>
      <right style="medium">
        <color theme="0"/>
      </right>
      <top/>
      <bottom style="medium">
        <color theme="0"/>
      </bottom>
      <diagonal/>
    </border>
    <border>
      <left style="medium">
        <color theme="0"/>
      </left>
      <right/>
      <top style="medium">
        <color theme="0"/>
      </top>
      <bottom/>
      <diagonal/>
    </border>
    <border>
      <left/>
      <right style="medium">
        <color theme="0"/>
      </right>
      <top style="medium">
        <color theme="0"/>
      </top>
      <bottom/>
      <diagonal/>
    </border>
    <border>
      <left style="medium">
        <color theme="0"/>
      </left>
      <right/>
      <top/>
      <bottom style="medium">
        <color theme="0"/>
      </bottom>
      <diagonal/>
    </border>
    <border>
      <left/>
      <right style="medium">
        <color theme="0"/>
      </right>
      <top/>
      <bottom style="medium">
        <color theme="0"/>
      </bottom>
      <diagonal/>
    </border>
    <border>
      <left/>
      <right/>
      <top/>
      <bottom style="medium">
        <color theme="0"/>
      </bottom>
      <diagonal/>
    </border>
    <border>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style="thick">
        <color theme="0"/>
      </left>
      <right style="thick">
        <color theme="0"/>
      </right>
      <top style="thick">
        <color theme="0"/>
      </top>
      <bottom style="thick">
        <color theme="0"/>
      </bottom>
      <diagonal/>
    </border>
    <border>
      <left/>
      <right/>
      <top style="thick">
        <color theme="0"/>
      </top>
      <bottom/>
      <diagonal/>
    </border>
    <border>
      <left/>
      <right/>
      <top/>
      <bottom style="thick">
        <color theme="0"/>
      </bottom>
      <diagonal/>
    </border>
  </borders>
  <cellStyleXfs count="3">
    <xf numFmtId="0" fontId="0" fillId="0" borderId="0"/>
    <xf numFmtId="0" fontId="9" fillId="0" borderId="0" applyNumberFormat="0" applyFill="0" applyBorder="0" applyAlignment="0" applyProtection="0"/>
    <xf numFmtId="0" fontId="1" fillId="14" borderId="0" applyNumberFormat="0" applyBorder="0" applyAlignment="0" applyProtection="0"/>
  </cellStyleXfs>
  <cellXfs count="246">
    <xf numFmtId="0" fontId="0" fillId="0" borderId="0" xfId="0"/>
    <xf numFmtId="0" fontId="0" fillId="2" borderId="0" xfId="0" applyFill="1"/>
    <xf numFmtId="0" fontId="0" fillId="2" borderId="0" xfId="0" applyFill="1" applyBorder="1"/>
    <xf numFmtId="0" fontId="0" fillId="2" borderId="0" xfId="0" applyFill="1" applyAlignment="1">
      <alignment textRotation="45"/>
    </xf>
    <xf numFmtId="0" fontId="3" fillId="2" borderId="0" xfId="0" applyFont="1" applyFill="1"/>
    <xf numFmtId="0" fontId="5" fillId="2" borderId="0" xfId="0" applyFont="1" applyFill="1" applyAlignment="1">
      <alignment horizontal="center" vertical="center" textRotation="45"/>
    </xf>
    <xf numFmtId="0" fontId="6" fillId="2" borderId="0" xfId="0" applyFont="1" applyFill="1"/>
    <xf numFmtId="0" fontId="0" fillId="2" borderId="4" xfId="0" applyFill="1" applyBorder="1"/>
    <xf numFmtId="0" fontId="0" fillId="2" borderId="5" xfId="0" applyFill="1" applyBorder="1"/>
    <xf numFmtId="0" fontId="9" fillId="2" borderId="0" xfId="1" applyFill="1" applyBorder="1"/>
    <xf numFmtId="0" fontId="0" fillId="2" borderId="1" xfId="0" applyFill="1" applyBorder="1"/>
    <xf numFmtId="0" fontId="0" fillId="2" borderId="2" xfId="0" applyFill="1" applyBorder="1"/>
    <xf numFmtId="0" fontId="0" fillId="2" borderId="3" xfId="0" applyFill="1" applyBorder="1"/>
    <xf numFmtId="0" fontId="0" fillId="8" borderId="4" xfId="0" applyFill="1" applyBorder="1"/>
    <xf numFmtId="0" fontId="0" fillId="9" borderId="4" xfId="0" applyFill="1" applyBorder="1"/>
    <xf numFmtId="0" fontId="0" fillId="9" borderId="5" xfId="0" applyFill="1" applyBorder="1"/>
    <xf numFmtId="0" fontId="11" fillId="11" borderId="6" xfId="0" applyFont="1" applyFill="1" applyBorder="1" applyAlignment="1">
      <alignment horizontal="center" vertical="center"/>
    </xf>
    <xf numFmtId="0" fontId="6" fillId="2" borderId="0" xfId="0" applyFont="1" applyFill="1" applyBorder="1"/>
    <xf numFmtId="0" fontId="4" fillId="2" borderId="0" xfId="0" applyFont="1" applyFill="1" applyBorder="1"/>
    <xf numFmtId="0" fontId="0" fillId="2" borderId="0" xfId="0" applyFill="1" applyBorder="1" applyAlignment="1">
      <alignment textRotation="45"/>
    </xf>
    <xf numFmtId="0" fontId="10" fillId="2" borderId="0" xfId="0" applyFont="1" applyFill="1" applyBorder="1"/>
    <xf numFmtId="0" fontId="7" fillId="2" borderId="0" xfId="0" applyFont="1" applyFill="1" applyBorder="1" applyAlignment="1">
      <alignment horizontal="center" vertical="center" wrapText="1"/>
    </xf>
    <xf numFmtId="0" fontId="3" fillId="2" borderId="0" xfId="0" applyFont="1" applyFill="1" applyBorder="1"/>
    <xf numFmtId="0" fontId="6" fillId="2" borderId="0" xfId="0" applyFont="1" applyFill="1" applyBorder="1" applyAlignment="1">
      <alignment textRotation="45"/>
    </xf>
    <xf numFmtId="0" fontId="11" fillId="2" borderId="0" xfId="0" applyFont="1" applyFill="1" applyBorder="1" applyAlignment="1">
      <alignment horizontal="center" vertical="center" textRotation="45"/>
    </xf>
    <xf numFmtId="0" fontId="5" fillId="5" borderId="0" xfId="0" applyFont="1" applyFill="1" applyBorder="1" applyAlignment="1">
      <alignment horizontal="center" vertical="center"/>
    </xf>
    <xf numFmtId="0" fontId="5" fillId="2" borderId="0" xfId="0" applyFont="1" applyFill="1" applyBorder="1" applyAlignment="1">
      <alignment horizontal="center" vertical="center" textRotation="45"/>
    </xf>
    <xf numFmtId="0" fontId="12" fillId="8" borderId="0" xfId="0" applyFont="1" applyFill="1" applyBorder="1" applyAlignment="1">
      <alignment horizontal="center" vertical="center" wrapText="1"/>
    </xf>
    <xf numFmtId="0" fontId="23" fillId="2" borderId="0" xfId="0" applyFont="1" applyFill="1" applyBorder="1" applyAlignment="1">
      <alignment horizontal="left"/>
    </xf>
    <xf numFmtId="0" fontId="24" fillId="10" borderId="0" xfId="0" applyFont="1" applyFill="1" applyBorder="1" applyAlignment="1">
      <alignment horizontal="left" textRotation="60" wrapText="1" shrinkToFit="1"/>
    </xf>
    <xf numFmtId="0" fontId="24" fillId="10" borderId="0" xfId="0" applyFont="1" applyFill="1" applyBorder="1" applyAlignment="1">
      <alignment horizontal="left" textRotation="60" wrapText="1"/>
    </xf>
    <xf numFmtId="0" fontId="6" fillId="11" borderId="0" xfId="0" applyFont="1" applyFill="1" applyBorder="1" applyAlignment="1">
      <alignment horizontal="left" vertical="center" wrapText="1"/>
    </xf>
    <xf numFmtId="0" fontId="0" fillId="6" borderId="7" xfId="0" applyFill="1" applyBorder="1"/>
    <xf numFmtId="0" fontId="12" fillId="7" borderId="4" xfId="0" applyFont="1" applyFill="1" applyBorder="1" applyAlignment="1">
      <alignment horizontal="left" vertical="center" wrapText="1"/>
    </xf>
    <xf numFmtId="0" fontId="14" fillId="8" borderId="4" xfId="0" applyFont="1" applyFill="1" applyBorder="1" applyAlignment="1">
      <alignment horizontal="left" vertical="center" wrapText="1"/>
    </xf>
    <xf numFmtId="0" fontId="6" fillId="11" borderId="0" xfId="0" applyFont="1" applyFill="1" applyBorder="1" applyAlignment="1">
      <alignment vertical="center" wrapText="1"/>
    </xf>
    <xf numFmtId="0" fontId="2" fillId="0" borderId="0" xfId="0" applyFont="1" applyFill="1" applyBorder="1" applyAlignment="1" applyProtection="1">
      <alignment horizontal="center" vertical="center"/>
      <protection locked="0"/>
    </xf>
    <xf numFmtId="0" fontId="0" fillId="2" borderId="0" xfId="0" applyFill="1" applyProtection="1"/>
    <xf numFmtId="0" fontId="0" fillId="6" borderId="7" xfId="0" applyFill="1" applyBorder="1" applyProtection="1"/>
    <xf numFmtId="0" fontId="12" fillId="7" borderId="4" xfId="0" applyFont="1" applyFill="1" applyBorder="1" applyAlignment="1" applyProtection="1">
      <alignment horizontal="left" vertical="center" wrapText="1"/>
    </xf>
    <xf numFmtId="0" fontId="0" fillId="8" borderId="4" xfId="0" applyFill="1" applyBorder="1" applyProtection="1"/>
    <xf numFmtId="0" fontId="14" fillId="8" borderId="4" xfId="0" applyFont="1" applyFill="1" applyBorder="1" applyAlignment="1" applyProtection="1">
      <alignment horizontal="left" vertical="center" wrapText="1"/>
    </xf>
    <xf numFmtId="0" fontId="0" fillId="2" borderId="4" xfId="0" applyFill="1" applyBorder="1" applyProtection="1"/>
    <xf numFmtId="0" fontId="0" fillId="2" borderId="5" xfId="0" applyFill="1" applyBorder="1" applyProtection="1"/>
    <xf numFmtId="0" fontId="0" fillId="2" borderId="0" xfId="0" applyFill="1" applyBorder="1" applyProtection="1"/>
    <xf numFmtId="0" fontId="0" fillId="9" borderId="4" xfId="0" applyFill="1" applyBorder="1" applyProtection="1"/>
    <xf numFmtId="0" fontId="2" fillId="9" borderId="0" xfId="0" applyFont="1" applyFill="1" applyBorder="1" applyProtection="1"/>
    <xf numFmtId="0" fontId="0" fillId="9" borderId="0" xfId="0" applyFill="1" applyBorder="1" applyProtection="1"/>
    <xf numFmtId="0" fontId="0" fillId="9" borderId="5" xfId="0" applyFill="1" applyBorder="1" applyProtection="1"/>
    <xf numFmtId="0" fontId="8" fillId="9" borderId="0" xfId="0" applyFont="1" applyFill="1" applyBorder="1" applyProtection="1"/>
    <xf numFmtId="0" fontId="2" fillId="2" borderId="0" xfId="0" applyFont="1" applyFill="1" applyBorder="1" applyProtection="1"/>
    <xf numFmtId="0" fontId="9" fillId="2" borderId="0" xfId="1" applyFill="1" applyBorder="1" applyProtection="1"/>
    <xf numFmtId="0" fontId="0" fillId="2" borderId="1" xfId="0" applyFill="1" applyBorder="1" applyProtection="1"/>
    <xf numFmtId="0" fontId="0" fillId="2" borderId="2" xfId="0" applyFill="1" applyBorder="1" applyProtection="1"/>
    <xf numFmtId="0" fontId="0" fillId="2" borderId="3" xfId="0" applyFill="1" applyBorder="1" applyProtection="1"/>
    <xf numFmtId="0" fontId="6" fillId="2" borderId="0" xfId="0" applyFont="1" applyFill="1" applyProtection="1"/>
    <xf numFmtId="0" fontId="0" fillId="2" borderId="0" xfId="0" applyFill="1" applyBorder="1" applyAlignment="1" applyProtection="1"/>
    <xf numFmtId="0" fontId="0" fillId="2" borderId="0" xfId="0" applyFill="1" applyBorder="1" applyAlignment="1" applyProtection="1">
      <alignment horizontal="center" vertical="center"/>
    </xf>
    <xf numFmtId="0" fontId="2" fillId="9" borderId="0" xfId="0" applyFont="1" applyFill="1"/>
    <xf numFmtId="0" fontId="0" fillId="9" borderId="0" xfId="0" applyFill="1"/>
    <xf numFmtId="0" fontId="8" fillId="9" borderId="0" xfId="0" applyFont="1" applyFill="1"/>
    <xf numFmtId="0" fontId="2" fillId="2" borderId="0" xfId="0" applyFont="1" applyFill="1"/>
    <xf numFmtId="0" fontId="4" fillId="2" borderId="0" xfId="0" applyFont="1" applyFill="1"/>
    <xf numFmtId="0" fontId="10" fillId="2" borderId="0" xfId="0" applyFont="1" applyFill="1"/>
    <xf numFmtId="0" fontId="12" fillId="2" borderId="0" xfId="0" applyFont="1" applyFill="1" applyAlignment="1">
      <alignment horizontal="center" vertical="center" wrapText="1"/>
    </xf>
    <xf numFmtId="0" fontId="12" fillId="0" borderId="0" xfId="0" applyFont="1" applyAlignment="1">
      <alignment horizontal="center" vertical="center" wrapText="1"/>
    </xf>
    <xf numFmtId="0" fontId="6" fillId="2" borderId="0" xfId="0" applyFont="1" applyFill="1" applyAlignment="1">
      <alignment textRotation="45"/>
    </xf>
    <xf numFmtId="0" fontId="23" fillId="2" borderId="6" xfId="0" applyFont="1" applyFill="1" applyBorder="1" applyAlignment="1">
      <alignment horizontal="center"/>
    </xf>
    <xf numFmtId="0" fontId="24" fillId="10" borderId="6" xfId="0" applyFont="1" applyFill="1" applyBorder="1" applyAlignment="1" applyProtection="1">
      <alignment horizontal="center" vertical="center" textRotation="45" wrapText="1" shrinkToFit="1"/>
      <protection locked="0"/>
    </xf>
    <xf numFmtId="0" fontId="24" fillId="10" borderId="6" xfId="0" applyFont="1" applyFill="1" applyBorder="1" applyAlignment="1" applyProtection="1">
      <alignment horizontal="center" vertical="center" textRotation="45" wrapText="1"/>
      <protection locked="0"/>
    </xf>
    <xf numFmtId="0" fontId="11" fillId="2" borderId="0" xfId="0" applyFont="1" applyFill="1" applyAlignment="1">
      <alignment horizontal="center" vertical="center" textRotation="45"/>
    </xf>
    <xf numFmtId="0" fontId="6" fillId="11" borderId="6" xfId="0" applyFont="1" applyFill="1" applyBorder="1" applyProtection="1">
      <protection locked="0"/>
    </xf>
    <xf numFmtId="0" fontId="6" fillId="11" borderId="6" xfId="0" applyFont="1" applyFill="1" applyBorder="1" applyAlignment="1" applyProtection="1">
      <alignment horizontal="left" vertical="center" wrapText="1"/>
      <protection locked="0"/>
    </xf>
    <xf numFmtId="0" fontId="2" fillId="0" borderId="6" xfId="0" applyFont="1" applyBorder="1" applyAlignment="1" applyProtection="1">
      <alignment horizontal="center" vertical="center" wrapText="1"/>
      <protection locked="0"/>
    </xf>
    <xf numFmtId="49" fontId="6" fillId="11" borderId="6" xfId="0" applyNumberFormat="1" applyFont="1" applyFill="1" applyBorder="1" applyAlignment="1" applyProtection="1">
      <alignment horizontal="left" vertical="center" wrapText="1"/>
      <protection locked="0"/>
    </xf>
    <xf numFmtId="0" fontId="3" fillId="2" borderId="0" xfId="0" applyFont="1" applyFill="1" applyAlignment="1">
      <alignment horizontal="center" vertical="center" textRotation="45"/>
    </xf>
    <xf numFmtId="0" fontId="0" fillId="2" borderId="0" xfId="0" applyFill="1" applyAlignment="1">
      <alignment horizontal="center"/>
    </xf>
    <xf numFmtId="0" fontId="2" fillId="9" borderId="0" xfId="0" applyFont="1" applyFill="1" applyProtection="1"/>
    <xf numFmtId="0" fontId="0" fillId="9" borderId="0" xfId="0" applyFill="1" applyProtection="1"/>
    <xf numFmtId="0" fontId="8" fillId="9" borderId="0" xfId="0" applyFont="1" applyFill="1" applyProtection="1"/>
    <xf numFmtId="0" fontId="2" fillId="2" borderId="0" xfId="0" applyFont="1" applyFill="1" applyProtection="1"/>
    <xf numFmtId="0" fontId="0" fillId="2" borderId="0" xfId="0" applyFill="1" applyAlignment="1" applyProtection="1">
      <alignment horizontal="center" vertical="center"/>
    </xf>
    <xf numFmtId="0" fontId="11" fillId="11" borderId="20" xfId="0" applyFont="1" applyFill="1" applyBorder="1" applyAlignment="1" applyProtection="1">
      <alignment vertical="center"/>
    </xf>
    <xf numFmtId="0" fontId="11" fillId="11" borderId="21" xfId="0" applyFont="1" applyFill="1" applyBorder="1" applyAlignment="1" applyProtection="1">
      <alignment vertical="center"/>
    </xf>
    <xf numFmtId="0" fontId="11" fillId="11" borderId="6" xfId="0" applyFont="1" applyFill="1" applyBorder="1" applyAlignment="1" applyProtection="1">
      <alignment horizontal="center" vertical="center"/>
    </xf>
    <xf numFmtId="0" fontId="0" fillId="5" borderId="6" xfId="0" applyFill="1" applyBorder="1" applyAlignment="1" applyProtection="1">
      <alignment horizontal="center" vertical="center" shrinkToFit="1"/>
    </xf>
    <xf numFmtId="0" fontId="0" fillId="5" borderId="6" xfId="0" applyFill="1" applyBorder="1" applyAlignment="1" applyProtection="1">
      <alignment horizontal="center" vertical="center"/>
    </xf>
    <xf numFmtId="0" fontId="24" fillId="10" borderId="6" xfId="0" applyFont="1" applyFill="1" applyBorder="1" applyAlignment="1">
      <alignment horizontal="center" vertical="center" textRotation="45" wrapText="1"/>
    </xf>
    <xf numFmtId="0" fontId="6" fillId="11" borderId="6" xfId="0" applyFont="1" applyFill="1" applyBorder="1"/>
    <xf numFmtId="0" fontId="6" fillId="11" borderId="6" xfId="0" applyFont="1" applyFill="1" applyBorder="1" applyAlignment="1" applyProtection="1">
      <alignment horizontal="center" vertical="center" wrapText="1"/>
      <protection locked="0"/>
    </xf>
    <xf numFmtId="0" fontId="0" fillId="2" borderId="0" xfId="0" applyFill="1" applyAlignment="1">
      <alignment textRotation="93"/>
    </xf>
    <xf numFmtId="0" fontId="6" fillId="2" borderId="0" xfId="0" applyFont="1" applyFill="1" applyAlignment="1">
      <alignment textRotation="93"/>
    </xf>
    <xf numFmtId="0" fontId="3" fillId="2" borderId="0" xfId="0" applyFont="1" applyFill="1" applyAlignment="1">
      <alignment horizontal="center" vertical="center" textRotation="93"/>
    </xf>
    <xf numFmtId="0" fontId="22" fillId="2" borderId="0" xfId="0" applyFont="1" applyFill="1" applyBorder="1" applyAlignment="1" applyProtection="1">
      <alignment vertical="center"/>
    </xf>
    <xf numFmtId="0" fontId="12" fillId="11" borderId="31" xfId="0" applyFont="1" applyFill="1" applyBorder="1" applyAlignment="1">
      <alignment horizontal="left"/>
    </xf>
    <xf numFmtId="0" fontId="12" fillId="11" borderId="32" xfId="0" applyFont="1" applyFill="1" applyBorder="1" applyAlignment="1">
      <alignment horizontal="left"/>
    </xf>
    <xf numFmtId="0" fontId="27" fillId="15" borderId="32" xfId="0" applyFont="1" applyFill="1" applyBorder="1" applyAlignment="1">
      <alignment horizontal="center"/>
    </xf>
    <xf numFmtId="0" fontId="27" fillId="16" borderId="33" xfId="0" applyFont="1" applyFill="1" applyBorder="1" applyAlignment="1">
      <alignment horizontal="center"/>
    </xf>
    <xf numFmtId="0" fontId="12" fillId="8" borderId="33" xfId="0" applyFont="1" applyFill="1" applyBorder="1" applyAlignment="1">
      <alignment horizontal="center"/>
    </xf>
    <xf numFmtId="0" fontId="6" fillId="12" borderId="30" xfId="0" applyFont="1" applyFill="1" applyBorder="1"/>
    <xf numFmtId="0" fontId="0" fillId="13" borderId="32" xfId="0" applyFill="1" applyBorder="1" applyAlignment="1">
      <alignment wrapText="1"/>
    </xf>
    <xf numFmtId="0" fontId="0" fillId="17" borderId="33" xfId="0" applyFill="1" applyBorder="1" applyAlignment="1" applyProtection="1">
      <alignment horizontal="center"/>
      <protection locked="0"/>
    </xf>
    <xf numFmtId="0" fontId="0" fillId="16" borderId="33" xfId="0" applyFill="1" applyBorder="1" applyAlignment="1">
      <alignment horizontal="center"/>
    </xf>
    <xf numFmtId="0" fontId="0" fillId="13" borderId="32" xfId="0" applyFill="1" applyBorder="1"/>
    <xf numFmtId="0" fontId="0" fillId="6" borderId="31" xfId="0" applyFill="1" applyBorder="1"/>
    <xf numFmtId="0" fontId="0" fillId="6" borderId="32" xfId="0" applyFill="1" applyBorder="1"/>
    <xf numFmtId="0" fontId="0" fillId="18" borderId="30" xfId="0" applyFill="1" applyBorder="1"/>
    <xf numFmtId="0" fontId="29" fillId="18" borderId="31" xfId="0" applyFont="1" applyFill="1" applyBorder="1" applyAlignment="1">
      <alignment horizontal="right" wrapText="1"/>
    </xf>
    <xf numFmtId="16" fontId="29" fillId="18" borderId="31" xfId="0" applyNumberFormat="1" applyFont="1" applyFill="1" applyBorder="1" applyAlignment="1">
      <alignment horizontal="right"/>
    </xf>
    <xf numFmtId="0" fontId="0" fillId="0" borderId="0" xfId="0" applyNumberFormat="1"/>
    <xf numFmtId="0" fontId="6" fillId="11" borderId="0" xfId="0" applyNumberFormat="1" applyFont="1" applyFill="1" applyBorder="1" applyAlignment="1">
      <alignment horizontal="left" vertical="center" wrapText="1"/>
    </xf>
    <xf numFmtId="0" fontId="6" fillId="12" borderId="31" xfId="0" applyFont="1" applyFill="1" applyBorder="1" applyAlignment="1">
      <alignment vertical="top"/>
    </xf>
    <xf numFmtId="0" fontId="6" fillId="12" borderId="32" xfId="0" applyFont="1" applyFill="1" applyBorder="1" applyAlignment="1">
      <alignment vertical="top"/>
    </xf>
    <xf numFmtId="0" fontId="0" fillId="7" borderId="7" xfId="0" applyFill="1" applyBorder="1" applyProtection="1"/>
    <xf numFmtId="0" fontId="0" fillId="2" borderId="0" xfId="0" applyFill="1" applyAlignment="1">
      <alignment vertical="top" wrapText="1"/>
    </xf>
    <xf numFmtId="0" fontId="26" fillId="13" borderId="28" xfId="0" applyFont="1" applyFill="1" applyBorder="1"/>
    <xf numFmtId="0" fontId="26" fillId="13" borderId="25" xfId="0" applyFont="1" applyFill="1" applyBorder="1"/>
    <xf numFmtId="0" fontId="11" fillId="11" borderId="0" xfId="0" applyFont="1" applyFill="1" applyAlignment="1">
      <alignment horizontal="left"/>
    </xf>
    <xf numFmtId="0" fontId="1" fillId="14" borderId="26" xfId="2" applyBorder="1" applyAlignment="1" applyProtection="1">
      <alignment horizontal="center" vertical="center" wrapText="1"/>
      <protection locked="0"/>
    </xf>
    <xf numFmtId="0" fontId="1" fillId="14" borderId="28" xfId="2" applyBorder="1" applyAlignment="1" applyProtection="1">
      <alignment horizontal="center" vertical="center" wrapText="1"/>
      <protection locked="0"/>
    </xf>
    <xf numFmtId="0" fontId="6" fillId="12" borderId="28" xfId="0" applyFont="1" applyFill="1" applyBorder="1" applyAlignment="1">
      <alignment horizontal="left" vertical="center" wrapText="1"/>
    </xf>
    <xf numFmtId="0" fontId="6" fillId="12" borderId="25" xfId="0" applyFont="1" applyFill="1" applyBorder="1" applyAlignment="1">
      <alignment horizontal="left" vertical="center" wrapText="1"/>
    </xf>
    <xf numFmtId="0" fontId="6" fillId="12" borderId="29" xfId="0" applyFont="1" applyFill="1" applyBorder="1" applyAlignment="1">
      <alignment horizontal="left" vertical="center" wrapText="1"/>
    </xf>
    <xf numFmtId="0" fontId="12" fillId="7" borderId="8" xfId="0" applyFont="1" applyFill="1" applyBorder="1" applyAlignment="1">
      <alignment horizontal="left" vertical="center" wrapText="1"/>
    </xf>
    <xf numFmtId="0" fontId="12" fillId="7" borderId="9" xfId="0" applyFont="1" applyFill="1" applyBorder="1" applyAlignment="1">
      <alignment horizontal="left" vertical="center" wrapText="1"/>
    </xf>
    <xf numFmtId="0" fontId="12" fillId="7" borderId="0" xfId="0" applyFont="1" applyFill="1" applyAlignment="1">
      <alignment horizontal="left" vertical="center" wrapText="1"/>
    </xf>
    <xf numFmtId="0" fontId="12" fillId="7" borderId="5" xfId="0" applyFont="1" applyFill="1" applyBorder="1" applyAlignment="1">
      <alignment horizontal="left" vertical="center" wrapText="1"/>
    </xf>
    <xf numFmtId="0" fontId="13" fillId="8" borderId="0" xfId="0" applyFont="1" applyFill="1" applyAlignment="1">
      <alignment horizontal="left" vertical="center" wrapText="1"/>
    </xf>
    <xf numFmtId="0" fontId="13" fillId="8" borderId="5" xfId="0" applyFont="1" applyFill="1" applyBorder="1" applyAlignment="1">
      <alignment horizontal="left" vertical="center" wrapText="1"/>
    </xf>
    <xf numFmtId="0" fontId="15" fillId="2" borderId="0" xfId="0" applyFont="1" applyFill="1" applyAlignment="1">
      <alignment horizontal="left" wrapText="1"/>
    </xf>
    <xf numFmtId="0" fontId="0" fillId="2" borderId="0" xfId="0" applyFill="1" applyAlignment="1">
      <alignment horizontal="left" wrapText="1"/>
    </xf>
    <xf numFmtId="0" fontId="17" fillId="2" borderId="0" xfId="0" applyFont="1" applyFill="1" applyAlignment="1">
      <alignment horizontal="center" wrapText="1"/>
    </xf>
    <xf numFmtId="0" fontId="0" fillId="9" borderId="0" xfId="0" applyFill="1" applyAlignment="1">
      <alignment horizontal="left"/>
    </xf>
    <xf numFmtId="0" fontId="0" fillId="9" borderId="0" xfId="0" applyFont="1" applyFill="1" applyAlignment="1">
      <alignment horizontal="left" vertical="top" wrapText="1"/>
    </xf>
    <xf numFmtId="0" fontId="11" fillId="11" borderId="24" xfId="0" applyFont="1" applyFill="1" applyBorder="1" applyAlignment="1">
      <alignment horizontal="center" vertical="center"/>
    </xf>
    <xf numFmtId="0" fontId="11" fillId="11" borderId="27" xfId="0" applyFont="1" applyFill="1" applyBorder="1" applyAlignment="1">
      <alignment horizontal="center" vertical="center"/>
    </xf>
    <xf numFmtId="0" fontId="11" fillId="11" borderId="23" xfId="0" applyFont="1" applyFill="1" applyBorder="1" applyAlignment="1">
      <alignment horizontal="center" vertical="center"/>
    </xf>
    <xf numFmtId="0" fontId="6" fillId="6" borderId="0" xfId="0" applyFont="1" applyFill="1" applyAlignment="1">
      <alignment horizontal="center" wrapText="1"/>
    </xf>
    <xf numFmtId="0" fontId="22" fillId="8" borderId="0" xfId="0" applyFont="1" applyFill="1" applyAlignment="1">
      <alignment horizontal="left" vertical="center"/>
    </xf>
    <xf numFmtId="0" fontId="6" fillId="12" borderId="0" xfId="0" applyFont="1" applyFill="1" applyAlignment="1">
      <alignment horizontal="center" vertical="center" wrapText="1"/>
    </xf>
    <xf numFmtId="0" fontId="0" fillId="2" borderId="0" xfId="0" applyFill="1" applyAlignment="1">
      <alignment horizontal="left" vertical="top" wrapText="1"/>
    </xf>
    <xf numFmtId="0" fontId="6" fillId="12" borderId="31" xfId="0" applyFont="1" applyFill="1" applyBorder="1" applyAlignment="1">
      <alignment horizontal="left"/>
    </xf>
    <xf numFmtId="0" fontId="6" fillId="12" borderId="32" xfId="0" applyFont="1" applyFill="1" applyBorder="1" applyAlignment="1">
      <alignment horizontal="left"/>
    </xf>
    <xf numFmtId="0" fontId="12" fillId="8" borderId="0" xfId="0" applyFont="1" applyFill="1" applyAlignment="1">
      <alignment horizontal="left" vertical="center" wrapText="1"/>
    </xf>
    <xf numFmtId="0" fontId="12" fillId="11" borderId="30" xfId="0" applyFont="1" applyFill="1" applyBorder="1" applyAlignment="1">
      <alignment horizontal="center"/>
    </xf>
    <xf numFmtId="0" fontId="12" fillId="11" borderId="31" xfId="0" applyFont="1" applyFill="1" applyBorder="1" applyAlignment="1">
      <alignment horizontal="center"/>
    </xf>
    <xf numFmtId="0" fontId="0" fillId="13" borderId="30" xfId="0" applyFill="1" applyBorder="1" applyAlignment="1">
      <alignment horizontal="center"/>
    </xf>
    <xf numFmtId="0" fontId="0" fillId="13" borderId="34" xfId="0" applyFill="1" applyBorder="1" applyAlignment="1">
      <alignment horizontal="center" vertical="center" wrapText="1"/>
    </xf>
    <xf numFmtId="0" fontId="0" fillId="13" borderId="0" xfId="0" applyFill="1" applyBorder="1" applyAlignment="1">
      <alignment horizontal="center" vertical="center" wrapText="1"/>
    </xf>
    <xf numFmtId="0" fontId="0" fillId="13" borderId="35" xfId="0" applyFill="1" applyBorder="1" applyAlignment="1">
      <alignment horizontal="center" vertical="center" wrapText="1"/>
    </xf>
    <xf numFmtId="0" fontId="25" fillId="8" borderId="33" xfId="0" applyFont="1" applyFill="1" applyBorder="1" applyAlignment="1">
      <alignment horizontal="center" vertical="center"/>
    </xf>
    <xf numFmtId="0" fontId="0" fillId="13" borderId="31" xfId="0" applyFill="1" applyBorder="1" applyAlignment="1">
      <alignment horizontal="left" vertical="top" wrapText="1"/>
    </xf>
    <xf numFmtId="0" fontId="12" fillId="6" borderId="30" xfId="0" applyFont="1" applyFill="1" applyBorder="1" applyAlignment="1">
      <alignment horizontal="left"/>
    </xf>
    <xf numFmtId="0" fontId="12" fillId="6" borderId="31" xfId="0" applyFont="1" applyFill="1" applyBorder="1" applyAlignment="1">
      <alignment horizontal="left"/>
    </xf>
    <xf numFmtId="0" fontId="28" fillId="8" borderId="31" xfId="0" applyFont="1" applyFill="1" applyBorder="1" applyAlignment="1">
      <alignment horizontal="center" vertical="center"/>
    </xf>
    <xf numFmtId="0" fontId="20" fillId="18" borderId="31" xfId="0" applyFont="1" applyFill="1" applyBorder="1" applyAlignment="1">
      <alignment horizontal="left" wrapText="1"/>
    </xf>
    <xf numFmtId="0" fontId="20" fillId="18" borderId="32" xfId="0" applyFont="1" applyFill="1" applyBorder="1" applyAlignment="1">
      <alignment horizontal="left" wrapText="1"/>
    </xf>
    <xf numFmtId="0" fontId="11" fillId="11" borderId="10" xfId="0" applyFont="1" applyFill="1" applyBorder="1" applyAlignment="1" applyProtection="1">
      <alignment horizontal="center"/>
    </xf>
    <xf numFmtId="0" fontId="11" fillId="11" borderId="0" xfId="0" applyFont="1" applyFill="1" applyBorder="1" applyAlignment="1" applyProtection="1">
      <alignment horizontal="center"/>
    </xf>
    <xf numFmtId="0" fontId="0" fillId="2" borderId="0" xfId="0" applyFill="1" applyBorder="1" applyAlignment="1" applyProtection="1">
      <alignment horizontal="left" wrapText="1"/>
    </xf>
    <xf numFmtId="0" fontId="15" fillId="2" borderId="0" xfId="0" applyFont="1" applyFill="1" applyBorder="1" applyAlignment="1" applyProtection="1">
      <alignment horizontal="left" wrapText="1"/>
    </xf>
    <xf numFmtId="0" fontId="20" fillId="2" borderId="0" xfId="0" applyFont="1" applyFill="1" applyBorder="1" applyAlignment="1" applyProtection="1">
      <alignment horizontal="left" wrapText="1"/>
    </xf>
    <xf numFmtId="0" fontId="0" fillId="9" borderId="0" xfId="0" applyFont="1" applyFill="1" applyBorder="1" applyAlignment="1" applyProtection="1">
      <alignment horizontal="left" vertical="top" wrapText="1"/>
    </xf>
    <xf numFmtId="0" fontId="12" fillId="7" borderId="8" xfId="0" applyFont="1" applyFill="1" applyBorder="1" applyAlignment="1" applyProtection="1">
      <alignment horizontal="left" vertical="center" wrapText="1"/>
    </xf>
    <xf numFmtId="0" fontId="12" fillId="7" borderId="9" xfId="0" applyFont="1" applyFill="1" applyBorder="1" applyAlignment="1" applyProtection="1">
      <alignment horizontal="left" vertical="center" wrapText="1"/>
    </xf>
    <xf numFmtId="0" fontId="12" fillId="7" borderId="0" xfId="0" applyFont="1" applyFill="1" applyBorder="1" applyAlignment="1" applyProtection="1">
      <alignment horizontal="left" vertical="center" wrapText="1"/>
    </xf>
    <xf numFmtId="0" fontId="12" fillId="7" borderId="5" xfId="0" applyFont="1" applyFill="1" applyBorder="1" applyAlignment="1" applyProtection="1">
      <alignment horizontal="left" vertical="center" wrapText="1"/>
    </xf>
    <xf numFmtId="0" fontId="13" fillId="8" borderId="0" xfId="0" applyFont="1" applyFill="1" applyBorder="1" applyAlignment="1" applyProtection="1">
      <alignment horizontal="left" vertical="center" wrapText="1"/>
    </xf>
    <xf numFmtId="0" fontId="13" fillId="8" borderId="5" xfId="0" applyFont="1" applyFill="1" applyBorder="1" applyAlignment="1" applyProtection="1">
      <alignment horizontal="left" vertical="center" wrapText="1"/>
    </xf>
    <xf numFmtId="0" fontId="17" fillId="2" borderId="0" xfId="0" applyFont="1" applyFill="1" applyBorder="1" applyAlignment="1" applyProtection="1">
      <alignment horizontal="center" wrapText="1"/>
    </xf>
    <xf numFmtId="0" fontId="6" fillId="12" borderId="10" xfId="0" applyFont="1" applyFill="1" applyBorder="1" applyAlignment="1" applyProtection="1">
      <alignment vertical="center" wrapText="1"/>
    </xf>
    <xf numFmtId="0" fontId="6" fillId="12" borderId="0" xfId="0" applyFont="1" applyFill="1" applyBorder="1" applyAlignment="1" applyProtection="1">
      <alignment vertical="center" wrapText="1"/>
    </xf>
    <xf numFmtId="0" fontId="11" fillId="11" borderId="10" xfId="0" applyFont="1" applyFill="1" applyBorder="1" applyAlignment="1" applyProtection="1"/>
    <xf numFmtId="0" fontId="11" fillId="11" borderId="0" xfId="0" applyFont="1" applyFill="1" applyBorder="1" applyAlignment="1" applyProtection="1"/>
    <xf numFmtId="0" fontId="0" fillId="13" borderId="10" xfId="0" applyFont="1" applyFill="1" applyBorder="1" applyAlignment="1" applyProtection="1">
      <alignment horizontal="left" vertical="center" wrapText="1"/>
    </xf>
    <xf numFmtId="0" fontId="0" fillId="13" borderId="0" xfId="0" applyFont="1" applyFill="1" applyBorder="1" applyAlignment="1" applyProtection="1">
      <alignment horizontal="left" vertical="center" wrapText="1"/>
    </xf>
    <xf numFmtId="0" fontId="22" fillId="8" borderId="0" xfId="0" applyFont="1" applyFill="1" applyBorder="1" applyAlignment="1" applyProtection="1">
      <alignment horizontal="left" vertical="center"/>
    </xf>
    <xf numFmtId="0" fontId="6" fillId="6" borderId="0" xfId="0" applyFont="1" applyFill="1" applyBorder="1" applyAlignment="1" applyProtection="1">
      <alignment horizontal="left" wrapText="1"/>
    </xf>
    <xf numFmtId="0" fontId="0" fillId="3" borderId="10" xfId="0" applyFill="1" applyBorder="1" applyAlignment="1" applyProtection="1">
      <alignment horizontal="center" vertical="center"/>
      <protection locked="0"/>
    </xf>
    <xf numFmtId="0" fontId="0" fillId="3" borderId="0" xfId="0" applyFill="1" applyBorder="1" applyAlignment="1" applyProtection="1">
      <alignment horizontal="center" vertical="center"/>
      <protection locked="0"/>
    </xf>
    <xf numFmtId="0" fontId="0" fillId="5" borderId="11" xfId="0" applyFont="1" applyFill="1" applyBorder="1" applyAlignment="1" applyProtection="1">
      <alignment horizontal="center" vertical="center" shrinkToFit="1"/>
    </xf>
    <xf numFmtId="0" fontId="0" fillId="5" borderId="12" xfId="0" applyFont="1" applyFill="1" applyBorder="1" applyAlignment="1" applyProtection="1">
      <alignment horizontal="center" vertical="center" shrinkToFit="1"/>
    </xf>
    <xf numFmtId="0" fontId="0" fillId="5" borderId="13" xfId="0" applyFont="1" applyFill="1" applyBorder="1" applyAlignment="1" applyProtection="1">
      <alignment horizontal="center" vertical="center" shrinkToFit="1"/>
    </xf>
    <xf numFmtId="0" fontId="6" fillId="6" borderId="0" xfId="0" applyFont="1" applyFill="1" applyBorder="1" applyAlignment="1" applyProtection="1">
      <alignment horizontal="left" vertical="center" wrapText="1"/>
    </xf>
    <xf numFmtId="0" fontId="11" fillId="11" borderId="11" xfId="0" applyFont="1" applyFill="1" applyBorder="1" applyAlignment="1" applyProtection="1">
      <alignment horizontal="center" vertical="center"/>
    </xf>
    <xf numFmtId="0" fontId="11" fillId="11" borderId="12" xfId="0" applyFont="1" applyFill="1" applyBorder="1" applyAlignment="1" applyProtection="1">
      <alignment horizontal="center" vertical="center"/>
    </xf>
    <xf numFmtId="0" fontId="11" fillId="11" borderId="13" xfId="0" applyFont="1" applyFill="1" applyBorder="1" applyAlignment="1" applyProtection="1">
      <alignment horizontal="center" vertical="center"/>
    </xf>
    <xf numFmtId="0" fontId="11" fillId="11" borderId="10" xfId="0" applyFont="1" applyFill="1" applyBorder="1" applyAlignment="1" applyProtection="1">
      <alignment horizontal="center" vertical="center"/>
    </xf>
    <xf numFmtId="0" fontId="11" fillId="11" borderId="0" xfId="0" applyFont="1" applyFill="1" applyBorder="1" applyAlignment="1" applyProtection="1">
      <alignment horizontal="center" vertical="center"/>
    </xf>
    <xf numFmtId="0" fontId="5" fillId="5" borderId="0" xfId="0" applyFont="1" applyFill="1" applyBorder="1" applyAlignment="1">
      <alignment horizontal="center" vertical="center" wrapText="1" shrinkToFit="1"/>
    </xf>
    <xf numFmtId="0" fontId="5" fillId="5" borderId="0" xfId="0" applyFont="1" applyFill="1" applyBorder="1" applyAlignment="1">
      <alignment horizontal="center" vertical="center" wrapText="1"/>
    </xf>
    <xf numFmtId="0" fontId="0" fillId="9" borderId="0" xfId="0" applyFont="1" applyFill="1" applyAlignment="1" applyProtection="1">
      <alignment horizontal="left" vertical="top" wrapText="1"/>
    </xf>
    <xf numFmtId="0" fontId="12" fillId="7" borderId="0" xfId="0" applyFont="1" applyFill="1" applyAlignment="1" applyProtection="1">
      <alignment horizontal="left" vertical="center" wrapText="1"/>
    </xf>
    <xf numFmtId="0" fontId="13" fillId="8" borderId="0" xfId="0" applyFont="1" applyFill="1" applyAlignment="1" applyProtection="1">
      <alignment horizontal="left" vertical="center" wrapText="1"/>
    </xf>
    <xf numFmtId="0" fontId="15" fillId="2" borderId="0" xfId="0" applyFont="1" applyFill="1" applyAlignment="1" applyProtection="1">
      <alignment horizontal="left" wrapText="1"/>
    </xf>
    <xf numFmtId="0" fontId="20" fillId="2" borderId="0" xfId="0" applyFont="1" applyFill="1" applyAlignment="1" applyProtection="1">
      <alignment horizontal="left" wrapText="1"/>
    </xf>
    <xf numFmtId="0" fontId="17" fillId="2" borderId="0" xfId="0" applyFont="1" applyFill="1" applyAlignment="1" applyProtection="1">
      <alignment horizontal="center" wrapText="1"/>
    </xf>
    <xf numFmtId="0" fontId="0" fillId="2" borderId="0" xfId="0" applyFill="1" applyAlignment="1" applyProtection="1">
      <alignment horizontal="left" wrapText="1"/>
    </xf>
    <xf numFmtId="0" fontId="11" fillId="11" borderId="12" xfId="0" applyFont="1" applyFill="1" applyBorder="1" applyAlignment="1" applyProtection="1">
      <alignment horizontal="center"/>
    </xf>
    <xf numFmtId="0" fontId="6" fillId="12" borderId="12" xfId="0" applyFont="1" applyFill="1" applyBorder="1" applyAlignment="1" applyProtection="1">
      <alignment vertical="center" wrapText="1"/>
    </xf>
    <xf numFmtId="0" fontId="22" fillId="8" borderId="0" xfId="0" applyFont="1" applyFill="1" applyAlignment="1" applyProtection="1">
      <alignment horizontal="left" vertical="center"/>
    </xf>
    <xf numFmtId="0" fontId="6" fillId="6" borderId="0" xfId="0" applyFont="1" applyFill="1" applyAlignment="1" applyProtection="1">
      <alignment horizontal="center" wrapText="1"/>
    </xf>
    <xf numFmtId="0" fontId="1" fillId="15" borderId="12" xfId="2" applyFill="1" applyBorder="1" applyAlignment="1" applyProtection="1">
      <alignment horizontal="center" vertical="center"/>
      <protection locked="0"/>
    </xf>
    <xf numFmtId="0" fontId="2" fillId="4" borderId="18" xfId="0" applyFont="1" applyFill="1" applyBorder="1" applyAlignment="1" applyProtection="1">
      <alignment horizontal="center" vertical="center"/>
    </xf>
    <xf numFmtId="0" fontId="2" fillId="4" borderId="19" xfId="0" applyFont="1" applyFill="1" applyBorder="1" applyAlignment="1" applyProtection="1">
      <alignment horizontal="center" vertical="center"/>
    </xf>
    <xf numFmtId="0" fontId="2" fillId="4" borderId="10" xfId="0" applyFont="1" applyFill="1" applyBorder="1" applyAlignment="1" applyProtection="1">
      <alignment horizontal="center" vertical="center"/>
    </xf>
    <xf numFmtId="0" fontId="2" fillId="4" borderId="14" xfId="0" applyFont="1" applyFill="1" applyBorder="1" applyAlignment="1" applyProtection="1">
      <alignment horizontal="center" vertical="center"/>
    </xf>
    <xf numFmtId="0" fontId="2" fillId="4" borderId="20" xfId="0" applyFont="1" applyFill="1" applyBorder="1" applyAlignment="1" applyProtection="1">
      <alignment horizontal="center" vertical="center"/>
    </xf>
    <xf numFmtId="0" fontId="2" fillId="4" borderId="21" xfId="0" applyFont="1" applyFill="1" applyBorder="1" applyAlignment="1" applyProtection="1">
      <alignment horizontal="center" vertical="center"/>
    </xf>
    <xf numFmtId="0" fontId="2" fillId="4" borderId="18" xfId="0" applyFont="1" applyFill="1" applyBorder="1" applyAlignment="1" applyProtection="1">
      <alignment horizontal="center" vertical="center" wrapText="1"/>
    </xf>
    <xf numFmtId="0" fontId="2" fillId="4" borderId="19" xfId="0" applyFont="1" applyFill="1" applyBorder="1" applyAlignment="1" applyProtection="1">
      <alignment horizontal="center" vertical="center" wrapText="1"/>
    </xf>
    <xf numFmtId="0" fontId="2" fillId="4" borderId="10" xfId="0" applyFont="1" applyFill="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2" fillId="4" borderId="20" xfId="0" applyFont="1" applyFill="1" applyBorder="1" applyAlignment="1" applyProtection="1">
      <alignment horizontal="center" vertical="center" wrapText="1"/>
    </xf>
    <xf numFmtId="0" fontId="2" fillId="4" borderId="21" xfId="0" applyFont="1" applyFill="1" applyBorder="1" applyAlignment="1" applyProtection="1">
      <alignment horizontal="center" vertical="center" wrapText="1"/>
    </xf>
    <xf numFmtId="0" fontId="0" fillId="5" borderId="11" xfId="0" applyFill="1" applyBorder="1" applyAlignment="1" applyProtection="1">
      <alignment shrinkToFit="1"/>
    </xf>
    <xf numFmtId="0" fontId="0" fillId="5" borderId="12" xfId="0" applyFill="1" applyBorder="1" applyAlignment="1" applyProtection="1">
      <alignment shrinkToFit="1"/>
    </xf>
    <xf numFmtId="0" fontId="0" fillId="5" borderId="13" xfId="0" applyFill="1" applyBorder="1" applyAlignment="1" applyProtection="1">
      <alignment shrinkToFit="1"/>
    </xf>
    <xf numFmtId="0" fontId="11" fillId="11" borderId="20" xfId="0" applyFont="1" applyFill="1" applyBorder="1" applyAlignment="1" applyProtection="1">
      <alignment horizontal="center" vertical="center"/>
    </xf>
    <xf numFmtId="0" fontId="11" fillId="11" borderId="22" xfId="0" applyFont="1" applyFill="1" applyBorder="1" applyAlignment="1" applyProtection="1">
      <alignment horizontal="center" vertical="center"/>
    </xf>
    <xf numFmtId="0" fontId="11" fillId="11" borderId="21" xfId="0" applyFont="1" applyFill="1" applyBorder="1" applyAlignment="1" applyProtection="1">
      <alignment horizontal="center" vertical="center"/>
    </xf>
    <xf numFmtId="0" fontId="12" fillId="6" borderId="0" xfId="0" applyFont="1" applyFill="1" applyAlignment="1" applyProtection="1">
      <alignment horizontal="center" vertical="center" wrapText="1"/>
    </xf>
    <xf numFmtId="0" fontId="11" fillId="10" borderId="6" xfId="0" applyFont="1" applyFill="1" applyBorder="1" applyAlignment="1">
      <alignment horizontal="center" vertical="center" wrapText="1" shrinkToFit="1"/>
    </xf>
    <xf numFmtId="0" fontId="12" fillId="8" borderId="0" xfId="0" applyFont="1" applyFill="1" applyAlignment="1">
      <alignment horizontal="center" vertical="center" wrapText="1"/>
    </xf>
    <xf numFmtId="0" fontId="11" fillId="10" borderId="6" xfId="0" applyFont="1" applyFill="1" applyBorder="1" applyAlignment="1">
      <alignment horizontal="center" vertical="center" wrapText="1"/>
    </xf>
    <xf numFmtId="0" fontId="27" fillId="2" borderId="22" xfId="0" applyFont="1" applyFill="1" applyBorder="1" applyAlignment="1">
      <alignment horizontal="left" vertical="top" wrapText="1"/>
    </xf>
    <xf numFmtId="0" fontId="6" fillId="12" borderId="12" xfId="0" applyFont="1" applyFill="1" applyBorder="1" applyAlignment="1" applyProtection="1">
      <alignment horizontal="left" vertical="center" wrapText="1"/>
    </xf>
    <xf numFmtId="0" fontId="11" fillId="11" borderId="12" xfId="0" applyFont="1" applyFill="1" applyBorder="1" applyProtection="1"/>
    <xf numFmtId="0" fontId="0" fillId="15" borderId="12" xfId="2" applyFont="1" applyFill="1" applyBorder="1" applyAlignment="1" applyProtection="1">
      <alignment horizontal="center" vertical="center"/>
    </xf>
    <xf numFmtId="0" fontId="0" fillId="15" borderId="12" xfId="2" applyFont="1" applyFill="1" applyBorder="1" applyAlignment="1" applyProtection="1">
      <alignment horizontal="center" vertical="center"/>
      <protection locked="0"/>
    </xf>
    <xf numFmtId="0" fontId="0" fillId="5" borderId="11" xfId="0" applyFill="1" applyBorder="1" applyAlignment="1" applyProtection="1">
      <alignment horizontal="center" vertical="center" shrinkToFit="1"/>
    </xf>
    <xf numFmtId="0" fontId="0" fillId="5" borderId="12" xfId="0" applyFill="1" applyBorder="1" applyAlignment="1" applyProtection="1">
      <alignment horizontal="center" vertical="center" shrinkToFit="1"/>
    </xf>
    <xf numFmtId="0" fontId="0" fillId="5" borderId="13" xfId="0" applyFill="1" applyBorder="1" applyAlignment="1" applyProtection="1">
      <alignment horizontal="center" vertical="center" shrinkToFit="1"/>
    </xf>
    <xf numFmtId="0" fontId="22" fillId="8" borderId="0" xfId="0" applyFont="1" applyFill="1" applyBorder="1" applyAlignment="1" applyProtection="1">
      <alignment horizontal="center" vertical="center"/>
    </xf>
    <xf numFmtId="0" fontId="6" fillId="11" borderId="15" xfId="0" applyFont="1" applyFill="1" applyBorder="1" applyAlignment="1">
      <alignment horizontal="center" vertical="center"/>
    </xf>
    <xf numFmtId="0" fontId="6" fillId="11" borderId="16" xfId="0" applyFont="1" applyFill="1" applyBorder="1" applyAlignment="1">
      <alignment horizontal="center" vertical="center"/>
    </xf>
    <xf numFmtId="0" fontId="6" fillId="11" borderId="17" xfId="0" applyFont="1" applyFill="1" applyBorder="1" applyAlignment="1">
      <alignment horizontal="center" vertical="center"/>
    </xf>
    <xf numFmtId="0" fontId="6" fillId="11" borderId="15" xfId="0" applyFont="1" applyFill="1" applyBorder="1" applyAlignment="1" applyProtection="1">
      <alignment horizontal="center" vertical="center" wrapText="1"/>
      <protection locked="0"/>
    </xf>
    <xf numFmtId="0" fontId="6" fillId="11" borderId="16" xfId="0" applyFont="1" applyFill="1" applyBorder="1" applyAlignment="1" applyProtection="1">
      <alignment horizontal="center" vertical="center" wrapText="1"/>
      <protection locked="0"/>
    </xf>
    <xf numFmtId="0" fontId="6" fillId="11" borderId="17" xfId="0" applyFont="1" applyFill="1" applyBorder="1" applyAlignment="1" applyProtection="1">
      <alignment horizontal="center" vertical="center" wrapText="1"/>
      <protection locked="0"/>
    </xf>
    <xf numFmtId="0" fontId="6" fillId="11" borderId="15" xfId="0" applyFont="1" applyFill="1" applyBorder="1" applyAlignment="1">
      <alignment horizontal="left" vertical="center"/>
    </xf>
    <xf numFmtId="0" fontId="6" fillId="11" borderId="16" xfId="0" applyFont="1" applyFill="1" applyBorder="1" applyAlignment="1">
      <alignment horizontal="left" vertical="center"/>
    </xf>
    <xf numFmtId="0" fontId="6" fillId="11" borderId="17" xfId="0" applyFont="1" applyFill="1" applyBorder="1" applyAlignment="1">
      <alignment horizontal="left" vertical="center"/>
    </xf>
    <xf numFmtId="0" fontId="6" fillId="11" borderId="15" xfId="0" applyFont="1" applyFill="1" applyBorder="1" applyAlignment="1" applyProtection="1">
      <alignment horizontal="left" vertical="center" wrapText="1"/>
      <protection locked="0"/>
    </xf>
    <xf numFmtId="0" fontId="6" fillId="11" borderId="16" xfId="0" applyFont="1" applyFill="1" applyBorder="1" applyAlignment="1" applyProtection="1">
      <alignment horizontal="left" vertical="center" wrapText="1"/>
      <protection locked="0"/>
    </xf>
    <xf numFmtId="0" fontId="6" fillId="11" borderId="17" xfId="0" applyFont="1" applyFill="1" applyBorder="1" applyAlignment="1" applyProtection="1">
      <alignment horizontal="left" vertical="center" wrapText="1"/>
      <protection locked="0"/>
    </xf>
  </cellXfs>
  <cellStyles count="3">
    <cellStyle name="20% - Accent1" xfId="2" builtinId="30"/>
    <cellStyle name="Hyperlink" xfId="1" builtinId="8"/>
    <cellStyle name="Normal" xfId="0" builtinId="0"/>
  </cellStyles>
  <dxfs count="40">
    <dxf>
      <font>
        <b/>
        <i val="0"/>
        <color theme="9" tint="-0.499984740745262"/>
      </font>
      <fill>
        <patternFill>
          <bgColor theme="9" tint="0.59996337778862885"/>
        </patternFill>
      </fill>
    </dxf>
    <dxf>
      <font>
        <b val="0"/>
        <i val="0"/>
        <color theme="5" tint="-0.499984740745262"/>
      </font>
      <fill>
        <patternFill>
          <bgColor theme="5" tint="0.79998168889431442"/>
        </patternFill>
      </fill>
    </dxf>
    <dxf>
      <font>
        <color rgb="FF9C6500"/>
      </font>
      <fill>
        <patternFill>
          <bgColor rgb="FFFFEB9C"/>
        </patternFill>
      </fill>
    </dxf>
    <dxf>
      <font>
        <color rgb="FF9C0006"/>
      </font>
      <fill>
        <patternFill>
          <bgColor rgb="FFFFC7CE"/>
        </patternFill>
      </fill>
    </dxf>
    <dxf>
      <font>
        <b/>
        <i val="0"/>
        <color theme="9" tint="-0.499984740745262"/>
      </font>
      <fill>
        <patternFill>
          <bgColor theme="9" tint="0.59996337778862885"/>
        </patternFill>
      </fill>
    </dxf>
    <dxf>
      <font>
        <b val="0"/>
        <i val="0"/>
        <color theme="5" tint="-0.499984740745262"/>
      </font>
      <fill>
        <patternFill>
          <bgColor theme="5" tint="0.79998168889431442"/>
        </patternFill>
      </fill>
    </dxf>
    <dxf>
      <font>
        <color rgb="FF9C6500"/>
      </font>
      <fill>
        <patternFill>
          <bgColor rgb="FFFFEB9C"/>
        </patternFill>
      </fill>
    </dxf>
    <dxf>
      <font>
        <color rgb="FF9C0006"/>
      </font>
      <fill>
        <patternFill>
          <bgColor rgb="FFFFC7CE"/>
        </patternFill>
      </fill>
    </dxf>
    <dxf>
      <font>
        <color theme="5"/>
      </font>
      <fill>
        <patternFill>
          <fgColor theme="0" tint="-0.14993743705557422"/>
          <bgColor theme="0" tint="-0.14996795556505021"/>
        </patternFill>
      </fill>
    </dxf>
    <dxf>
      <font>
        <color rgb="FF9C0006"/>
      </font>
      <fill>
        <patternFill>
          <bgColor rgb="FFFFC7CE"/>
        </patternFill>
      </fill>
    </dxf>
    <dxf>
      <font>
        <color rgb="FF006100"/>
      </font>
      <fill>
        <patternFill>
          <bgColor rgb="FFC6EFCE"/>
        </patternFill>
      </fill>
    </dxf>
    <dxf>
      <font>
        <color theme="5"/>
      </font>
      <fill>
        <patternFill>
          <fgColor theme="0" tint="-0.14993743705557422"/>
          <bgColor theme="0" tint="-0.14996795556505021"/>
        </patternFill>
      </fill>
    </dxf>
    <dxf>
      <font>
        <color rgb="FF9C0006"/>
      </font>
      <fill>
        <patternFill>
          <bgColor rgb="FFFFC7CE"/>
        </patternFill>
      </fill>
    </dxf>
    <dxf>
      <font>
        <color rgb="FF006100"/>
      </font>
      <fill>
        <patternFill>
          <bgColor rgb="FFC6EFCE"/>
        </patternFill>
      </fill>
    </dxf>
    <dxf>
      <font>
        <color theme="5"/>
      </font>
      <fill>
        <patternFill>
          <fgColor theme="0" tint="-0.14993743705557422"/>
          <bgColor theme="0" tint="-0.14996795556505021"/>
        </patternFill>
      </fill>
    </dxf>
    <dxf>
      <font>
        <color rgb="FF9C0006"/>
      </font>
      <fill>
        <patternFill>
          <bgColor rgb="FFFFC7CE"/>
        </patternFill>
      </fill>
    </dxf>
    <dxf>
      <font>
        <color rgb="FF006100"/>
      </font>
      <fill>
        <patternFill>
          <bgColor rgb="FFC6EFCE"/>
        </patternFill>
      </fill>
    </dxf>
    <dxf>
      <font>
        <color theme="5"/>
      </font>
      <fill>
        <patternFill>
          <fgColor theme="0" tint="-0.14993743705557422"/>
          <bgColor theme="0" tint="-0.14996795556505021"/>
        </patternFill>
      </fill>
    </dxf>
    <dxf>
      <font>
        <color rgb="FF9C0006"/>
      </font>
      <fill>
        <patternFill>
          <bgColor rgb="FFFFC7CE"/>
        </patternFill>
      </fill>
    </dxf>
    <dxf>
      <font>
        <color rgb="FF006100"/>
      </font>
      <fill>
        <patternFill>
          <bgColor rgb="FFC6EFCE"/>
        </patternFill>
      </fill>
    </dxf>
    <dxf>
      <font>
        <color theme="5"/>
      </font>
      <fill>
        <patternFill>
          <fgColor theme="0" tint="-0.14993743705557422"/>
          <bgColor theme="0" tint="-0.14996795556505021"/>
        </patternFill>
      </fill>
    </dxf>
    <dxf>
      <font>
        <color rgb="FF9C0006"/>
      </font>
      <fill>
        <patternFill>
          <bgColor rgb="FFFFC7CE"/>
        </patternFill>
      </fill>
    </dxf>
    <dxf>
      <font>
        <color rgb="FF006100"/>
      </font>
      <fill>
        <patternFill>
          <bgColor rgb="FFC6EFCE"/>
        </patternFill>
      </fill>
    </dxf>
    <dxf>
      <font>
        <b val="0"/>
        <i val="0"/>
        <color theme="5" tint="-0.499984740745262"/>
      </font>
      <fill>
        <patternFill>
          <bgColor theme="5" tint="0.79998168889431442"/>
        </patternFill>
      </fill>
    </dxf>
    <dxf>
      <font>
        <b/>
        <i val="0"/>
        <color theme="9" tint="-0.499984740745262"/>
      </font>
      <fill>
        <patternFill>
          <bgColor theme="9" tint="0.59996337778862885"/>
        </patternFill>
      </fill>
    </dxf>
    <dxf>
      <font>
        <color theme="5"/>
      </font>
      <fill>
        <patternFill>
          <fgColor theme="0" tint="-0.14993743705557422"/>
          <bgColor theme="0" tint="-0.14996795556505021"/>
        </patternFill>
      </fill>
    </dxf>
    <dxf>
      <font>
        <color rgb="FF9C0006"/>
      </font>
      <fill>
        <patternFill>
          <bgColor rgb="FFFFC7CE"/>
        </patternFill>
      </fill>
    </dxf>
    <dxf>
      <font>
        <color rgb="FF006100"/>
      </font>
      <fill>
        <patternFill>
          <bgColor rgb="FFC6EFCE"/>
        </patternFill>
      </fill>
    </dxf>
    <dxf>
      <font>
        <color theme="5"/>
      </font>
      <fill>
        <patternFill>
          <fgColor theme="0" tint="-0.14993743705557422"/>
          <bgColor theme="0" tint="-0.14996795556505021"/>
        </patternFill>
      </fill>
    </dxf>
    <dxf>
      <font>
        <color rgb="FF9C0006"/>
      </font>
      <fill>
        <patternFill>
          <bgColor rgb="FFFFC7CE"/>
        </patternFill>
      </fill>
    </dxf>
    <dxf>
      <font>
        <color rgb="FF006100"/>
      </font>
      <fill>
        <patternFill>
          <bgColor rgb="FFC6EFCE"/>
        </patternFill>
      </fill>
    </dxf>
    <dxf>
      <font>
        <b val="0"/>
        <i val="0"/>
        <color theme="5" tint="-0.499984740745262"/>
      </font>
      <fill>
        <patternFill>
          <bgColor theme="5" tint="0.79998168889431442"/>
        </patternFill>
      </fill>
    </dxf>
    <dxf>
      <font>
        <b/>
        <i val="0"/>
        <color theme="9" tint="-0.499984740745262"/>
      </font>
      <fill>
        <patternFill>
          <bgColor theme="9" tint="0.59996337778862885"/>
        </patternFill>
      </fill>
    </dxf>
    <dxf>
      <font>
        <color theme="5"/>
      </font>
      <fill>
        <patternFill>
          <bgColor theme="0" tint="-0.14996795556505021"/>
        </patternFill>
      </fill>
    </dxf>
    <dxf>
      <font>
        <color rgb="FF9C0006"/>
      </font>
      <fill>
        <patternFill>
          <bgColor rgb="FFFFC7CE"/>
        </patternFill>
      </fill>
    </dxf>
    <dxf>
      <font>
        <color rgb="FF006100"/>
      </font>
      <fill>
        <patternFill>
          <bgColor rgb="FFC6EFCE"/>
        </patternFill>
      </fill>
    </dxf>
    <dxf>
      <font>
        <color theme="5"/>
      </font>
      <fill>
        <patternFill>
          <bgColor theme="0" tint="-0.14996795556505021"/>
        </patternFill>
      </fill>
    </dxf>
    <dxf>
      <font>
        <color rgb="FF9C0006"/>
      </font>
      <fill>
        <patternFill>
          <bgColor rgb="FFFFC7CE"/>
        </patternFill>
      </fill>
    </dxf>
    <dxf>
      <font>
        <color rgb="FF006100"/>
      </font>
      <fill>
        <patternFill>
          <bgColor rgb="FFC6EFCE"/>
        </patternFill>
      </fill>
    </dxf>
    <dxf>
      <font>
        <color theme="5"/>
      </font>
      <fill>
        <patternFill>
          <bgColor theme="0" tint="-0.14996795556505021"/>
        </patternFill>
      </fill>
    </dxf>
  </dxfs>
  <tableStyles count="0" defaultTableStyle="TableStyleMedium2" defaultPivotStyle="PivotStyleLight16"/>
  <colors>
    <mruColors>
      <color rgb="FFD9FFF2"/>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iagrams/colors1.xml><?xml version="1.0" encoding="utf-8"?>
<dgm:colorsDef xmlns:dgm="http://schemas.openxmlformats.org/drawingml/2006/diagram" xmlns:a="http://schemas.openxmlformats.org/drawingml/2006/main" uniqueId="urn:microsoft.com/office/officeart/2005/8/colors/accent2_2">
  <dgm:title val=""/>
  <dgm:desc val=""/>
  <dgm:catLst>
    <dgm:cat type="accent2" pri="11200"/>
  </dgm:catLst>
  <dgm:styleLbl name="node0">
    <dgm:fillClrLst meth="repeat">
      <a:schemeClr val="accent2"/>
    </dgm:fillClrLst>
    <dgm:linClrLst meth="repeat">
      <a:schemeClr val="lt1"/>
    </dgm:linClrLst>
    <dgm:effectClrLst/>
    <dgm:txLinClrLst/>
    <dgm:txFillClrLst/>
    <dgm:txEffectClrLst/>
  </dgm:styleLbl>
  <dgm:styleLbl name="node1">
    <dgm:fillClrLst meth="repeat">
      <a:schemeClr val="accent2"/>
    </dgm:fillClrLst>
    <dgm:linClrLst meth="repeat">
      <a:schemeClr val="lt1"/>
    </dgm:linClrLst>
    <dgm:effectClrLst/>
    <dgm:txLinClrLst/>
    <dgm:txFillClrLst/>
    <dgm:txEffectClrLst/>
  </dgm:styleLbl>
  <dgm:styleLbl name="alignNode1">
    <dgm:fillClrLst meth="repeat">
      <a:schemeClr val="accent2"/>
    </dgm:fillClrLst>
    <dgm:linClrLst meth="repeat">
      <a:schemeClr val="accent2"/>
    </dgm:linClrLst>
    <dgm:effectClrLst/>
    <dgm:txLinClrLst/>
    <dgm:txFillClrLst/>
    <dgm:txEffectClrLst/>
  </dgm:styleLbl>
  <dgm:styleLbl name="lnNode1">
    <dgm:fillClrLst meth="repeat">
      <a:schemeClr val="accent2"/>
    </dgm:fillClrLst>
    <dgm:linClrLst meth="repeat">
      <a:schemeClr val="lt1"/>
    </dgm:linClrLst>
    <dgm:effectClrLst/>
    <dgm:txLinClrLst/>
    <dgm:txFillClrLst/>
    <dgm:txEffectClrLst/>
  </dgm:styleLbl>
  <dgm:styleLbl name="vennNode1">
    <dgm:fillClrLst meth="repeat">
      <a:schemeClr val="accent2">
        <a:alpha val="50000"/>
      </a:schemeClr>
    </dgm:fillClrLst>
    <dgm:linClrLst meth="repeat">
      <a:schemeClr val="lt1"/>
    </dgm:linClrLst>
    <dgm:effectClrLst/>
    <dgm:txLinClrLst/>
    <dgm:txFillClrLst/>
    <dgm:txEffectClrLst/>
  </dgm:styleLbl>
  <dgm:styleLbl name="node2">
    <dgm:fillClrLst meth="repeat">
      <a:schemeClr val="accent2"/>
    </dgm:fillClrLst>
    <dgm:linClrLst meth="repeat">
      <a:schemeClr val="lt1"/>
    </dgm:linClrLst>
    <dgm:effectClrLst/>
    <dgm:txLinClrLst/>
    <dgm:txFillClrLst/>
    <dgm:txEffectClrLst/>
  </dgm:styleLbl>
  <dgm:styleLbl name="node3">
    <dgm:fillClrLst meth="repeat">
      <a:schemeClr val="accent2"/>
    </dgm:fillClrLst>
    <dgm:linClrLst meth="repeat">
      <a:schemeClr val="lt1"/>
    </dgm:linClrLst>
    <dgm:effectClrLst/>
    <dgm:txLinClrLst/>
    <dgm:txFillClrLst/>
    <dgm:txEffectClrLst/>
  </dgm:styleLbl>
  <dgm:styleLbl name="node4">
    <dgm:fillClrLst meth="repeat">
      <a:schemeClr val="accent2"/>
    </dgm:fillClrLst>
    <dgm:linClrLst meth="repeat">
      <a:schemeClr val="lt1"/>
    </dgm:linClrLst>
    <dgm:effectClrLst/>
    <dgm:txLinClrLst/>
    <dgm:txFillClrLst/>
    <dgm:txEffectClrLst/>
  </dgm:styleLbl>
  <dgm:styleLbl name="fgImgPlace1">
    <dgm:fillClrLst meth="repeat">
      <a:schemeClr val="accent2">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2">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2">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2">
        <a:tint val="60000"/>
      </a:schemeClr>
    </dgm:fillClrLst>
    <dgm:linClrLst meth="repeat">
      <a:schemeClr val="accent2">
        <a:tint val="60000"/>
      </a:schemeClr>
    </dgm:linClrLst>
    <dgm:effectClrLst/>
    <dgm:txLinClrLst/>
    <dgm:txFillClrLst/>
    <dgm:txEffectClrLst/>
  </dgm:styleLbl>
  <dgm:styleLbl name="fgSibTrans2D1">
    <dgm:fillClrLst meth="repeat">
      <a:schemeClr val="accent2">
        <a:tint val="60000"/>
      </a:schemeClr>
    </dgm:fillClrLst>
    <dgm:linClrLst meth="repeat">
      <a:schemeClr val="accent2">
        <a:tint val="60000"/>
      </a:schemeClr>
    </dgm:linClrLst>
    <dgm:effectClrLst/>
    <dgm:txLinClrLst/>
    <dgm:txFillClrLst/>
    <dgm:txEffectClrLst/>
  </dgm:styleLbl>
  <dgm:styleLbl name="bgSibTrans2D1">
    <dgm:fillClrLst meth="repeat">
      <a:schemeClr val="accent2">
        <a:tint val="60000"/>
      </a:schemeClr>
    </dgm:fillClrLst>
    <dgm:linClrLst meth="repeat">
      <a:schemeClr val="accent2">
        <a:tint val="60000"/>
      </a:schemeClr>
    </dgm:linClrLst>
    <dgm:effectClrLst/>
    <dgm:txLinClrLst/>
    <dgm:txFillClrLst/>
    <dgm:txEffectClrLst/>
  </dgm:styleLbl>
  <dgm:styleLbl name="sibTrans1D1">
    <dgm:fillClrLst meth="repeat">
      <a:schemeClr val="accent2"/>
    </dgm:fillClrLst>
    <dgm:linClrLst meth="repeat">
      <a:schemeClr val="accent2"/>
    </dgm:linClrLst>
    <dgm:effectClrLst/>
    <dgm:txLinClrLst/>
    <dgm:txFillClrLst meth="repeat">
      <a:schemeClr val="tx1"/>
    </dgm:txFillClrLst>
    <dgm:txEffectClrLst/>
  </dgm:styleLbl>
  <dgm:styleLbl name="callout">
    <dgm:fillClrLst meth="repeat">
      <a:schemeClr val="accent2"/>
    </dgm:fillClrLst>
    <dgm:linClrLst meth="repeat">
      <a:schemeClr val="accent2">
        <a:tint val="50000"/>
      </a:schemeClr>
    </dgm:linClrLst>
    <dgm:effectClrLst/>
    <dgm:txLinClrLst/>
    <dgm:txFillClrLst meth="repeat">
      <a:schemeClr val="tx1"/>
    </dgm:txFillClrLst>
    <dgm:txEffectClrLst/>
  </dgm:styleLbl>
  <dgm:styleLbl name="asst0">
    <dgm:fillClrLst meth="repeat">
      <a:schemeClr val="accent2"/>
    </dgm:fillClrLst>
    <dgm:linClrLst meth="repeat">
      <a:schemeClr val="lt1"/>
    </dgm:linClrLst>
    <dgm:effectClrLst/>
    <dgm:txLinClrLst/>
    <dgm:txFillClrLst/>
    <dgm:txEffectClrLst/>
  </dgm:styleLbl>
  <dgm:styleLbl name="asst1">
    <dgm:fillClrLst meth="repeat">
      <a:schemeClr val="accent2"/>
    </dgm:fillClrLst>
    <dgm:linClrLst meth="repeat">
      <a:schemeClr val="lt1"/>
    </dgm:linClrLst>
    <dgm:effectClrLst/>
    <dgm:txLinClrLst/>
    <dgm:txFillClrLst/>
    <dgm:txEffectClrLst/>
  </dgm:styleLbl>
  <dgm:styleLbl name="asst2">
    <dgm:fillClrLst meth="repeat">
      <a:schemeClr val="accent2"/>
    </dgm:fillClrLst>
    <dgm:linClrLst meth="repeat">
      <a:schemeClr val="lt1"/>
    </dgm:linClrLst>
    <dgm:effectClrLst/>
    <dgm:txLinClrLst/>
    <dgm:txFillClrLst/>
    <dgm:txEffectClrLst/>
  </dgm:styleLbl>
  <dgm:styleLbl name="asst3">
    <dgm:fillClrLst meth="repeat">
      <a:schemeClr val="accent2"/>
    </dgm:fillClrLst>
    <dgm:linClrLst meth="repeat">
      <a:schemeClr val="lt1"/>
    </dgm:linClrLst>
    <dgm:effectClrLst/>
    <dgm:txLinClrLst/>
    <dgm:txFillClrLst/>
    <dgm:txEffectClrLst/>
  </dgm:styleLbl>
  <dgm:styleLbl name="asst4">
    <dgm:fillClrLst meth="repeat">
      <a:schemeClr val="accent2"/>
    </dgm:fillClrLst>
    <dgm:linClrLst meth="repeat">
      <a:schemeClr val="lt1"/>
    </dgm:linClrLst>
    <dgm:effectClrLst/>
    <dgm:txLinClrLst/>
    <dgm:txFillClrLst/>
    <dgm:txEffectClrLst/>
  </dgm:styleLbl>
  <dgm:styleLbl name="parChTrans2D1">
    <dgm:fillClrLst meth="repeat">
      <a:schemeClr val="accent2">
        <a:tint val="60000"/>
      </a:schemeClr>
    </dgm:fillClrLst>
    <dgm:linClrLst meth="repeat">
      <a:schemeClr val="accent2">
        <a:tint val="60000"/>
      </a:schemeClr>
    </dgm:linClrLst>
    <dgm:effectClrLst/>
    <dgm:txLinClrLst/>
    <dgm:txFillClrLst meth="repeat">
      <a:schemeClr val="lt1"/>
    </dgm:txFillClrLst>
    <dgm:txEffectClrLst/>
  </dgm:styleLbl>
  <dgm:styleLbl name="parChTrans2D2">
    <dgm:fillClrLst meth="repeat">
      <a:schemeClr val="accent2"/>
    </dgm:fillClrLst>
    <dgm:linClrLst meth="repeat">
      <a:schemeClr val="accent2"/>
    </dgm:linClrLst>
    <dgm:effectClrLst/>
    <dgm:txLinClrLst/>
    <dgm:txFillClrLst meth="repeat">
      <a:schemeClr val="lt1"/>
    </dgm:txFillClrLst>
    <dgm:txEffectClrLst/>
  </dgm:styleLbl>
  <dgm:styleLbl name="parChTrans2D3">
    <dgm:fillClrLst meth="repeat">
      <a:schemeClr val="accent2"/>
    </dgm:fillClrLst>
    <dgm:linClrLst meth="repeat">
      <a:schemeClr val="accent2"/>
    </dgm:linClrLst>
    <dgm:effectClrLst/>
    <dgm:txLinClrLst/>
    <dgm:txFillClrLst meth="repeat">
      <a:schemeClr val="lt1"/>
    </dgm:txFillClrLst>
    <dgm:txEffectClrLst/>
  </dgm:styleLbl>
  <dgm:styleLbl name="parChTrans2D4">
    <dgm:fillClrLst meth="repeat">
      <a:schemeClr val="accent2"/>
    </dgm:fillClrLst>
    <dgm:linClrLst meth="repeat">
      <a:schemeClr val="accent2"/>
    </dgm:linClrLst>
    <dgm:effectClrLst/>
    <dgm:txLinClrLst/>
    <dgm:txFillClrLst meth="repeat">
      <a:schemeClr val="lt1"/>
    </dgm:txFillClrLst>
    <dgm:txEffectClrLst/>
  </dgm:styleLbl>
  <dgm:styleLbl name="parChTrans1D1">
    <dgm:fillClrLst meth="repeat">
      <a:schemeClr val="accent2"/>
    </dgm:fillClrLst>
    <dgm:linClrLst meth="repeat">
      <a:schemeClr val="accent2">
        <a:shade val="60000"/>
      </a:schemeClr>
    </dgm:linClrLst>
    <dgm:effectClrLst/>
    <dgm:txLinClrLst/>
    <dgm:txFillClrLst meth="repeat">
      <a:schemeClr val="tx1"/>
    </dgm:txFillClrLst>
    <dgm:txEffectClrLst/>
  </dgm:styleLbl>
  <dgm:styleLbl name="parChTrans1D2">
    <dgm:fillClrLst meth="repeat">
      <a:schemeClr val="accent2"/>
    </dgm:fillClrLst>
    <dgm:linClrLst meth="repeat">
      <a:schemeClr val="accent2">
        <a:shade val="60000"/>
      </a:schemeClr>
    </dgm:linClrLst>
    <dgm:effectClrLst/>
    <dgm:txLinClrLst/>
    <dgm:txFillClrLst meth="repeat">
      <a:schemeClr val="tx1"/>
    </dgm:txFillClrLst>
    <dgm:txEffectClrLst/>
  </dgm:styleLbl>
  <dgm:styleLbl name="parChTrans1D3">
    <dgm:fillClrLst meth="repeat">
      <a:schemeClr val="accent2"/>
    </dgm:fillClrLst>
    <dgm:linClrLst meth="repeat">
      <a:schemeClr val="accent2">
        <a:shade val="80000"/>
      </a:schemeClr>
    </dgm:linClrLst>
    <dgm:effectClrLst/>
    <dgm:txLinClrLst/>
    <dgm:txFillClrLst meth="repeat">
      <a:schemeClr val="tx1"/>
    </dgm:txFillClrLst>
    <dgm:txEffectClrLst/>
  </dgm:styleLbl>
  <dgm:styleLbl name="parChTrans1D4">
    <dgm:fillClrLst meth="repeat">
      <a:schemeClr val="accent2"/>
    </dgm:fillClrLst>
    <dgm:linClrLst meth="repeat">
      <a:schemeClr val="accent2">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2"/>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solidFgAcc1">
    <dgm:fillClrLst meth="repeat">
      <a:schemeClr val="lt1"/>
    </dgm:fillClrLst>
    <dgm:linClrLst meth="repeat">
      <a:schemeClr val="accent2"/>
    </dgm:linClrLst>
    <dgm:effectClrLst/>
    <dgm:txLinClrLst/>
    <dgm:txFillClrLst meth="repeat">
      <a:schemeClr val="dk1"/>
    </dgm:txFillClrLst>
    <dgm:txEffectClrLst/>
  </dgm:styleLbl>
  <dgm:styleLbl name="solidAlignAcc1">
    <dgm:fillClrLst meth="repeat">
      <a:schemeClr val="lt1"/>
    </dgm:fillClrLst>
    <dgm:linClrLst meth="repeat">
      <a:schemeClr val="accent2"/>
    </dgm:linClrLst>
    <dgm:effectClrLst/>
    <dgm:txLinClrLst/>
    <dgm:txFillClrLst meth="repeat">
      <a:schemeClr val="dk1"/>
    </dgm:txFillClrLst>
    <dgm:txEffectClrLst/>
  </dgm:styleLbl>
  <dgm:styleLbl name="solidBgAcc1">
    <dgm:fillClrLst meth="repeat">
      <a:schemeClr val="lt1"/>
    </dgm:fillClrLst>
    <dgm:linClrLst meth="repeat">
      <a:schemeClr val="accent2"/>
    </dgm:linClrLst>
    <dgm:effectClrLst/>
    <dgm:txLinClrLst/>
    <dgm:txFillClrLst meth="repeat">
      <a:schemeClr val="dk1"/>
    </dgm:txFillClrLst>
    <dgm:txEffectClrLst/>
  </dgm:styleLbl>
  <dgm:styleLbl name="fgAccFollowNode1">
    <dgm:fillClrLst meth="repeat">
      <a:schemeClr val="accent2">
        <a:alpha val="90000"/>
        <a:tint val="40000"/>
      </a:schemeClr>
    </dgm:fillClrLst>
    <dgm:linClrLst meth="repeat">
      <a:schemeClr val="accent2">
        <a:alpha val="90000"/>
        <a:tint val="40000"/>
      </a:schemeClr>
    </dgm:linClrLst>
    <dgm:effectClrLst/>
    <dgm:txLinClrLst/>
    <dgm:txFillClrLst meth="repeat">
      <a:schemeClr val="dk1"/>
    </dgm:txFillClrLst>
    <dgm:txEffectClrLst/>
  </dgm:styleLbl>
  <dgm:styleLbl name="alignAccFollowNode1">
    <dgm:fillClrLst meth="repeat">
      <a:schemeClr val="accent2">
        <a:alpha val="90000"/>
        <a:tint val="40000"/>
      </a:schemeClr>
    </dgm:fillClrLst>
    <dgm:linClrLst meth="repeat">
      <a:schemeClr val="accent2">
        <a:alpha val="90000"/>
        <a:tint val="40000"/>
      </a:schemeClr>
    </dgm:linClrLst>
    <dgm:effectClrLst/>
    <dgm:txLinClrLst/>
    <dgm:txFillClrLst meth="repeat">
      <a:schemeClr val="dk1"/>
    </dgm:txFillClrLst>
    <dgm:txEffectClrLst/>
  </dgm:styleLbl>
  <dgm:styleLbl name="bgAccFollowNode1">
    <dgm:fillClrLst meth="repeat">
      <a:schemeClr val="accent2">
        <a:alpha val="90000"/>
        <a:tint val="40000"/>
      </a:schemeClr>
    </dgm:fillClrLst>
    <dgm:linClrLst meth="repeat">
      <a:schemeClr val="accent2">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bgShp">
    <dgm:fillClrLst meth="repeat">
      <a:schemeClr val="accent2">
        <a:tint val="40000"/>
      </a:schemeClr>
    </dgm:fillClrLst>
    <dgm:linClrLst meth="repeat">
      <a:schemeClr val="accent2"/>
    </dgm:linClrLst>
    <dgm:effectClrLst/>
    <dgm:txLinClrLst/>
    <dgm:txFillClrLst meth="repeat">
      <a:schemeClr val="dk1"/>
    </dgm:txFillClrLst>
    <dgm:txEffectClrLst/>
  </dgm:styleLbl>
  <dgm:styleLbl name="dkBgShp">
    <dgm:fillClrLst meth="repeat">
      <a:schemeClr val="accent2">
        <a:shade val="80000"/>
      </a:schemeClr>
    </dgm:fillClrLst>
    <dgm:linClrLst meth="repeat">
      <a:schemeClr val="accent2"/>
    </dgm:linClrLst>
    <dgm:effectClrLst/>
    <dgm:txLinClrLst/>
    <dgm:txFillClrLst meth="repeat">
      <a:schemeClr val="lt1"/>
    </dgm:txFillClrLst>
    <dgm:txEffectClrLst/>
  </dgm:styleLbl>
  <dgm:styleLbl name="trBgShp">
    <dgm:fillClrLst meth="repeat">
      <a:schemeClr val="accent2">
        <a:tint val="50000"/>
        <a:alpha val="40000"/>
      </a:schemeClr>
    </dgm:fillClrLst>
    <dgm:linClrLst meth="repeat">
      <a:schemeClr val="accent2"/>
    </dgm:linClrLst>
    <dgm:effectClrLst/>
    <dgm:txLinClrLst/>
    <dgm:txFillClrLst meth="repeat">
      <a:schemeClr val="lt1"/>
    </dgm:txFillClrLst>
    <dgm:txEffectClrLst/>
  </dgm:styleLbl>
  <dgm:styleLbl name="fgShp">
    <dgm:fillClrLst meth="repeat">
      <a:schemeClr val="accent2">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2_2">
  <dgm:title val=""/>
  <dgm:desc val=""/>
  <dgm:catLst>
    <dgm:cat type="accent2" pri="11200"/>
  </dgm:catLst>
  <dgm:styleLbl name="node0">
    <dgm:fillClrLst meth="repeat">
      <a:schemeClr val="accent2"/>
    </dgm:fillClrLst>
    <dgm:linClrLst meth="repeat">
      <a:schemeClr val="lt1"/>
    </dgm:linClrLst>
    <dgm:effectClrLst/>
    <dgm:txLinClrLst/>
    <dgm:txFillClrLst/>
    <dgm:txEffectClrLst/>
  </dgm:styleLbl>
  <dgm:styleLbl name="node1">
    <dgm:fillClrLst meth="repeat">
      <a:schemeClr val="accent2"/>
    </dgm:fillClrLst>
    <dgm:linClrLst meth="repeat">
      <a:schemeClr val="lt1"/>
    </dgm:linClrLst>
    <dgm:effectClrLst/>
    <dgm:txLinClrLst/>
    <dgm:txFillClrLst/>
    <dgm:txEffectClrLst/>
  </dgm:styleLbl>
  <dgm:styleLbl name="alignNode1">
    <dgm:fillClrLst meth="repeat">
      <a:schemeClr val="accent2"/>
    </dgm:fillClrLst>
    <dgm:linClrLst meth="repeat">
      <a:schemeClr val="accent2"/>
    </dgm:linClrLst>
    <dgm:effectClrLst/>
    <dgm:txLinClrLst/>
    <dgm:txFillClrLst/>
    <dgm:txEffectClrLst/>
  </dgm:styleLbl>
  <dgm:styleLbl name="lnNode1">
    <dgm:fillClrLst meth="repeat">
      <a:schemeClr val="accent2"/>
    </dgm:fillClrLst>
    <dgm:linClrLst meth="repeat">
      <a:schemeClr val="lt1"/>
    </dgm:linClrLst>
    <dgm:effectClrLst/>
    <dgm:txLinClrLst/>
    <dgm:txFillClrLst/>
    <dgm:txEffectClrLst/>
  </dgm:styleLbl>
  <dgm:styleLbl name="vennNode1">
    <dgm:fillClrLst meth="repeat">
      <a:schemeClr val="accent2">
        <a:alpha val="50000"/>
      </a:schemeClr>
    </dgm:fillClrLst>
    <dgm:linClrLst meth="repeat">
      <a:schemeClr val="lt1"/>
    </dgm:linClrLst>
    <dgm:effectClrLst/>
    <dgm:txLinClrLst/>
    <dgm:txFillClrLst/>
    <dgm:txEffectClrLst/>
  </dgm:styleLbl>
  <dgm:styleLbl name="node2">
    <dgm:fillClrLst meth="repeat">
      <a:schemeClr val="accent2"/>
    </dgm:fillClrLst>
    <dgm:linClrLst meth="repeat">
      <a:schemeClr val="lt1"/>
    </dgm:linClrLst>
    <dgm:effectClrLst/>
    <dgm:txLinClrLst/>
    <dgm:txFillClrLst/>
    <dgm:txEffectClrLst/>
  </dgm:styleLbl>
  <dgm:styleLbl name="node3">
    <dgm:fillClrLst meth="repeat">
      <a:schemeClr val="accent2"/>
    </dgm:fillClrLst>
    <dgm:linClrLst meth="repeat">
      <a:schemeClr val="lt1"/>
    </dgm:linClrLst>
    <dgm:effectClrLst/>
    <dgm:txLinClrLst/>
    <dgm:txFillClrLst/>
    <dgm:txEffectClrLst/>
  </dgm:styleLbl>
  <dgm:styleLbl name="node4">
    <dgm:fillClrLst meth="repeat">
      <a:schemeClr val="accent2"/>
    </dgm:fillClrLst>
    <dgm:linClrLst meth="repeat">
      <a:schemeClr val="lt1"/>
    </dgm:linClrLst>
    <dgm:effectClrLst/>
    <dgm:txLinClrLst/>
    <dgm:txFillClrLst/>
    <dgm:txEffectClrLst/>
  </dgm:styleLbl>
  <dgm:styleLbl name="fgImgPlace1">
    <dgm:fillClrLst meth="repeat">
      <a:schemeClr val="accent2">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2">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2">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2">
        <a:tint val="60000"/>
      </a:schemeClr>
    </dgm:fillClrLst>
    <dgm:linClrLst meth="repeat">
      <a:schemeClr val="accent2">
        <a:tint val="60000"/>
      </a:schemeClr>
    </dgm:linClrLst>
    <dgm:effectClrLst/>
    <dgm:txLinClrLst/>
    <dgm:txFillClrLst/>
    <dgm:txEffectClrLst/>
  </dgm:styleLbl>
  <dgm:styleLbl name="fgSibTrans2D1">
    <dgm:fillClrLst meth="repeat">
      <a:schemeClr val="accent2">
        <a:tint val="60000"/>
      </a:schemeClr>
    </dgm:fillClrLst>
    <dgm:linClrLst meth="repeat">
      <a:schemeClr val="accent2">
        <a:tint val="60000"/>
      </a:schemeClr>
    </dgm:linClrLst>
    <dgm:effectClrLst/>
    <dgm:txLinClrLst/>
    <dgm:txFillClrLst/>
    <dgm:txEffectClrLst/>
  </dgm:styleLbl>
  <dgm:styleLbl name="bgSibTrans2D1">
    <dgm:fillClrLst meth="repeat">
      <a:schemeClr val="accent2">
        <a:tint val="60000"/>
      </a:schemeClr>
    </dgm:fillClrLst>
    <dgm:linClrLst meth="repeat">
      <a:schemeClr val="accent2">
        <a:tint val="60000"/>
      </a:schemeClr>
    </dgm:linClrLst>
    <dgm:effectClrLst/>
    <dgm:txLinClrLst/>
    <dgm:txFillClrLst/>
    <dgm:txEffectClrLst/>
  </dgm:styleLbl>
  <dgm:styleLbl name="sibTrans1D1">
    <dgm:fillClrLst meth="repeat">
      <a:schemeClr val="accent2"/>
    </dgm:fillClrLst>
    <dgm:linClrLst meth="repeat">
      <a:schemeClr val="accent2"/>
    </dgm:linClrLst>
    <dgm:effectClrLst/>
    <dgm:txLinClrLst/>
    <dgm:txFillClrLst meth="repeat">
      <a:schemeClr val="tx1"/>
    </dgm:txFillClrLst>
    <dgm:txEffectClrLst/>
  </dgm:styleLbl>
  <dgm:styleLbl name="callout">
    <dgm:fillClrLst meth="repeat">
      <a:schemeClr val="accent2"/>
    </dgm:fillClrLst>
    <dgm:linClrLst meth="repeat">
      <a:schemeClr val="accent2">
        <a:tint val="50000"/>
      </a:schemeClr>
    </dgm:linClrLst>
    <dgm:effectClrLst/>
    <dgm:txLinClrLst/>
    <dgm:txFillClrLst meth="repeat">
      <a:schemeClr val="tx1"/>
    </dgm:txFillClrLst>
    <dgm:txEffectClrLst/>
  </dgm:styleLbl>
  <dgm:styleLbl name="asst0">
    <dgm:fillClrLst meth="repeat">
      <a:schemeClr val="accent2"/>
    </dgm:fillClrLst>
    <dgm:linClrLst meth="repeat">
      <a:schemeClr val="lt1"/>
    </dgm:linClrLst>
    <dgm:effectClrLst/>
    <dgm:txLinClrLst/>
    <dgm:txFillClrLst/>
    <dgm:txEffectClrLst/>
  </dgm:styleLbl>
  <dgm:styleLbl name="asst1">
    <dgm:fillClrLst meth="repeat">
      <a:schemeClr val="accent2"/>
    </dgm:fillClrLst>
    <dgm:linClrLst meth="repeat">
      <a:schemeClr val="lt1"/>
    </dgm:linClrLst>
    <dgm:effectClrLst/>
    <dgm:txLinClrLst/>
    <dgm:txFillClrLst/>
    <dgm:txEffectClrLst/>
  </dgm:styleLbl>
  <dgm:styleLbl name="asst2">
    <dgm:fillClrLst meth="repeat">
      <a:schemeClr val="accent2"/>
    </dgm:fillClrLst>
    <dgm:linClrLst meth="repeat">
      <a:schemeClr val="lt1"/>
    </dgm:linClrLst>
    <dgm:effectClrLst/>
    <dgm:txLinClrLst/>
    <dgm:txFillClrLst/>
    <dgm:txEffectClrLst/>
  </dgm:styleLbl>
  <dgm:styleLbl name="asst3">
    <dgm:fillClrLst meth="repeat">
      <a:schemeClr val="accent2"/>
    </dgm:fillClrLst>
    <dgm:linClrLst meth="repeat">
      <a:schemeClr val="lt1"/>
    </dgm:linClrLst>
    <dgm:effectClrLst/>
    <dgm:txLinClrLst/>
    <dgm:txFillClrLst/>
    <dgm:txEffectClrLst/>
  </dgm:styleLbl>
  <dgm:styleLbl name="asst4">
    <dgm:fillClrLst meth="repeat">
      <a:schemeClr val="accent2"/>
    </dgm:fillClrLst>
    <dgm:linClrLst meth="repeat">
      <a:schemeClr val="lt1"/>
    </dgm:linClrLst>
    <dgm:effectClrLst/>
    <dgm:txLinClrLst/>
    <dgm:txFillClrLst/>
    <dgm:txEffectClrLst/>
  </dgm:styleLbl>
  <dgm:styleLbl name="parChTrans2D1">
    <dgm:fillClrLst meth="repeat">
      <a:schemeClr val="accent2">
        <a:tint val="60000"/>
      </a:schemeClr>
    </dgm:fillClrLst>
    <dgm:linClrLst meth="repeat">
      <a:schemeClr val="accent2">
        <a:tint val="60000"/>
      </a:schemeClr>
    </dgm:linClrLst>
    <dgm:effectClrLst/>
    <dgm:txLinClrLst/>
    <dgm:txFillClrLst meth="repeat">
      <a:schemeClr val="lt1"/>
    </dgm:txFillClrLst>
    <dgm:txEffectClrLst/>
  </dgm:styleLbl>
  <dgm:styleLbl name="parChTrans2D2">
    <dgm:fillClrLst meth="repeat">
      <a:schemeClr val="accent2"/>
    </dgm:fillClrLst>
    <dgm:linClrLst meth="repeat">
      <a:schemeClr val="accent2"/>
    </dgm:linClrLst>
    <dgm:effectClrLst/>
    <dgm:txLinClrLst/>
    <dgm:txFillClrLst meth="repeat">
      <a:schemeClr val="lt1"/>
    </dgm:txFillClrLst>
    <dgm:txEffectClrLst/>
  </dgm:styleLbl>
  <dgm:styleLbl name="parChTrans2D3">
    <dgm:fillClrLst meth="repeat">
      <a:schemeClr val="accent2"/>
    </dgm:fillClrLst>
    <dgm:linClrLst meth="repeat">
      <a:schemeClr val="accent2"/>
    </dgm:linClrLst>
    <dgm:effectClrLst/>
    <dgm:txLinClrLst/>
    <dgm:txFillClrLst meth="repeat">
      <a:schemeClr val="lt1"/>
    </dgm:txFillClrLst>
    <dgm:txEffectClrLst/>
  </dgm:styleLbl>
  <dgm:styleLbl name="parChTrans2D4">
    <dgm:fillClrLst meth="repeat">
      <a:schemeClr val="accent2"/>
    </dgm:fillClrLst>
    <dgm:linClrLst meth="repeat">
      <a:schemeClr val="accent2"/>
    </dgm:linClrLst>
    <dgm:effectClrLst/>
    <dgm:txLinClrLst/>
    <dgm:txFillClrLst meth="repeat">
      <a:schemeClr val="lt1"/>
    </dgm:txFillClrLst>
    <dgm:txEffectClrLst/>
  </dgm:styleLbl>
  <dgm:styleLbl name="parChTrans1D1">
    <dgm:fillClrLst meth="repeat">
      <a:schemeClr val="accent2"/>
    </dgm:fillClrLst>
    <dgm:linClrLst meth="repeat">
      <a:schemeClr val="accent2">
        <a:shade val="60000"/>
      </a:schemeClr>
    </dgm:linClrLst>
    <dgm:effectClrLst/>
    <dgm:txLinClrLst/>
    <dgm:txFillClrLst meth="repeat">
      <a:schemeClr val="tx1"/>
    </dgm:txFillClrLst>
    <dgm:txEffectClrLst/>
  </dgm:styleLbl>
  <dgm:styleLbl name="parChTrans1D2">
    <dgm:fillClrLst meth="repeat">
      <a:schemeClr val="accent2"/>
    </dgm:fillClrLst>
    <dgm:linClrLst meth="repeat">
      <a:schemeClr val="accent2">
        <a:shade val="60000"/>
      </a:schemeClr>
    </dgm:linClrLst>
    <dgm:effectClrLst/>
    <dgm:txLinClrLst/>
    <dgm:txFillClrLst meth="repeat">
      <a:schemeClr val="tx1"/>
    </dgm:txFillClrLst>
    <dgm:txEffectClrLst/>
  </dgm:styleLbl>
  <dgm:styleLbl name="parChTrans1D3">
    <dgm:fillClrLst meth="repeat">
      <a:schemeClr val="accent2"/>
    </dgm:fillClrLst>
    <dgm:linClrLst meth="repeat">
      <a:schemeClr val="accent2">
        <a:shade val="80000"/>
      </a:schemeClr>
    </dgm:linClrLst>
    <dgm:effectClrLst/>
    <dgm:txLinClrLst/>
    <dgm:txFillClrLst meth="repeat">
      <a:schemeClr val="tx1"/>
    </dgm:txFillClrLst>
    <dgm:txEffectClrLst/>
  </dgm:styleLbl>
  <dgm:styleLbl name="parChTrans1D4">
    <dgm:fillClrLst meth="repeat">
      <a:schemeClr val="accent2"/>
    </dgm:fillClrLst>
    <dgm:linClrLst meth="repeat">
      <a:schemeClr val="accent2">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2"/>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solidFgAcc1">
    <dgm:fillClrLst meth="repeat">
      <a:schemeClr val="lt1"/>
    </dgm:fillClrLst>
    <dgm:linClrLst meth="repeat">
      <a:schemeClr val="accent2"/>
    </dgm:linClrLst>
    <dgm:effectClrLst/>
    <dgm:txLinClrLst/>
    <dgm:txFillClrLst meth="repeat">
      <a:schemeClr val="dk1"/>
    </dgm:txFillClrLst>
    <dgm:txEffectClrLst/>
  </dgm:styleLbl>
  <dgm:styleLbl name="solidAlignAcc1">
    <dgm:fillClrLst meth="repeat">
      <a:schemeClr val="lt1"/>
    </dgm:fillClrLst>
    <dgm:linClrLst meth="repeat">
      <a:schemeClr val="accent2"/>
    </dgm:linClrLst>
    <dgm:effectClrLst/>
    <dgm:txLinClrLst/>
    <dgm:txFillClrLst meth="repeat">
      <a:schemeClr val="dk1"/>
    </dgm:txFillClrLst>
    <dgm:txEffectClrLst/>
  </dgm:styleLbl>
  <dgm:styleLbl name="solidBgAcc1">
    <dgm:fillClrLst meth="repeat">
      <a:schemeClr val="lt1"/>
    </dgm:fillClrLst>
    <dgm:linClrLst meth="repeat">
      <a:schemeClr val="accent2"/>
    </dgm:linClrLst>
    <dgm:effectClrLst/>
    <dgm:txLinClrLst/>
    <dgm:txFillClrLst meth="repeat">
      <a:schemeClr val="dk1"/>
    </dgm:txFillClrLst>
    <dgm:txEffectClrLst/>
  </dgm:styleLbl>
  <dgm:styleLbl name="fgAccFollowNode1">
    <dgm:fillClrLst meth="repeat">
      <a:schemeClr val="accent2">
        <a:alpha val="90000"/>
        <a:tint val="40000"/>
      </a:schemeClr>
    </dgm:fillClrLst>
    <dgm:linClrLst meth="repeat">
      <a:schemeClr val="accent2">
        <a:alpha val="90000"/>
        <a:tint val="40000"/>
      </a:schemeClr>
    </dgm:linClrLst>
    <dgm:effectClrLst/>
    <dgm:txLinClrLst/>
    <dgm:txFillClrLst meth="repeat">
      <a:schemeClr val="dk1"/>
    </dgm:txFillClrLst>
    <dgm:txEffectClrLst/>
  </dgm:styleLbl>
  <dgm:styleLbl name="alignAccFollowNode1">
    <dgm:fillClrLst meth="repeat">
      <a:schemeClr val="accent2">
        <a:alpha val="90000"/>
        <a:tint val="40000"/>
      </a:schemeClr>
    </dgm:fillClrLst>
    <dgm:linClrLst meth="repeat">
      <a:schemeClr val="accent2">
        <a:alpha val="90000"/>
        <a:tint val="40000"/>
      </a:schemeClr>
    </dgm:linClrLst>
    <dgm:effectClrLst/>
    <dgm:txLinClrLst/>
    <dgm:txFillClrLst meth="repeat">
      <a:schemeClr val="dk1"/>
    </dgm:txFillClrLst>
    <dgm:txEffectClrLst/>
  </dgm:styleLbl>
  <dgm:styleLbl name="bgAccFollowNode1">
    <dgm:fillClrLst meth="repeat">
      <a:schemeClr val="accent2">
        <a:alpha val="90000"/>
        <a:tint val="40000"/>
      </a:schemeClr>
    </dgm:fillClrLst>
    <dgm:linClrLst meth="repeat">
      <a:schemeClr val="accent2">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bgShp">
    <dgm:fillClrLst meth="repeat">
      <a:schemeClr val="accent2">
        <a:tint val="40000"/>
      </a:schemeClr>
    </dgm:fillClrLst>
    <dgm:linClrLst meth="repeat">
      <a:schemeClr val="accent2"/>
    </dgm:linClrLst>
    <dgm:effectClrLst/>
    <dgm:txLinClrLst/>
    <dgm:txFillClrLst meth="repeat">
      <a:schemeClr val="dk1"/>
    </dgm:txFillClrLst>
    <dgm:txEffectClrLst/>
  </dgm:styleLbl>
  <dgm:styleLbl name="dkBgShp">
    <dgm:fillClrLst meth="repeat">
      <a:schemeClr val="accent2">
        <a:shade val="80000"/>
      </a:schemeClr>
    </dgm:fillClrLst>
    <dgm:linClrLst meth="repeat">
      <a:schemeClr val="accent2"/>
    </dgm:linClrLst>
    <dgm:effectClrLst/>
    <dgm:txLinClrLst/>
    <dgm:txFillClrLst meth="repeat">
      <a:schemeClr val="lt1"/>
    </dgm:txFillClrLst>
    <dgm:txEffectClrLst/>
  </dgm:styleLbl>
  <dgm:styleLbl name="trBgShp">
    <dgm:fillClrLst meth="repeat">
      <a:schemeClr val="accent2">
        <a:tint val="50000"/>
        <a:alpha val="40000"/>
      </a:schemeClr>
    </dgm:fillClrLst>
    <dgm:linClrLst meth="repeat">
      <a:schemeClr val="accent2"/>
    </dgm:linClrLst>
    <dgm:effectClrLst/>
    <dgm:txLinClrLst/>
    <dgm:txFillClrLst meth="repeat">
      <a:schemeClr val="lt1"/>
    </dgm:txFillClrLst>
    <dgm:txEffectClrLst/>
  </dgm:styleLbl>
  <dgm:styleLbl name="fgShp">
    <dgm:fillClrLst meth="repeat">
      <a:schemeClr val="accent2">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accent2_2">
  <dgm:title val=""/>
  <dgm:desc val=""/>
  <dgm:catLst>
    <dgm:cat type="accent2" pri="11200"/>
  </dgm:catLst>
  <dgm:styleLbl name="node0">
    <dgm:fillClrLst meth="repeat">
      <a:schemeClr val="accent2"/>
    </dgm:fillClrLst>
    <dgm:linClrLst meth="repeat">
      <a:schemeClr val="lt1"/>
    </dgm:linClrLst>
    <dgm:effectClrLst/>
    <dgm:txLinClrLst/>
    <dgm:txFillClrLst/>
    <dgm:txEffectClrLst/>
  </dgm:styleLbl>
  <dgm:styleLbl name="node1">
    <dgm:fillClrLst meth="repeat">
      <a:schemeClr val="accent2"/>
    </dgm:fillClrLst>
    <dgm:linClrLst meth="repeat">
      <a:schemeClr val="lt1"/>
    </dgm:linClrLst>
    <dgm:effectClrLst/>
    <dgm:txLinClrLst/>
    <dgm:txFillClrLst/>
    <dgm:txEffectClrLst/>
  </dgm:styleLbl>
  <dgm:styleLbl name="alignNode1">
    <dgm:fillClrLst meth="repeat">
      <a:schemeClr val="accent2"/>
    </dgm:fillClrLst>
    <dgm:linClrLst meth="repeat">
      <a:schemeClr val="accent2"/>
    </dgm:linClrLst>
    <dgm:effectClrLst/>
    <dgm:txLinClrLst/>
    <dgm:txFillClrLst/>
    <dgm:txEffectClrLst/>
  </dgm:styleLbl>
  <dgm:styleLbl name="lnNode1">
    <dgm:fillClrLst meth="repeat">
      <a:schemeClr val="accent2"/>
    </dgm:fillClrLst>
    <dgm:linClrLst meth="repeat">
      <a:schemeClr val="lt1"/>
    </dgm:linClrLst>
    <dgm:effectClrLst/>
    <dgm:txLinClrLst/>
    <dgm:txFillClrLst/>
    <dgm:txEffectClrLst/>
  </dgm:styleLbl>
  <dgm:styleLbl name="vennNode1">
    <dgm:fillClrLst meth="repeat">
      <a:schemeClr val="accent2">
        <a:alpha val="50000"/>
      </a:schemeClr>
    </dgm:fillClrLst>
    <dgm:linClrLst meth="repeat">
      <a:schemeClr val="lt1"/>
    </dgm:linClrLst>
    <dgm:effectClrLst/>
    <dgm:txLinClrLst/>
    <dgm:txFillClrLst/>
    <dgm:txEffectClrLst/>
  </dgm:styleLbl>
  <dgm:styleLbl name="node2">
    <dgm:fillClrLst meth="repeat">
      <a:schemeClr val="accent2"/>
    </dgm:fillClrLst>
    <dgm:linClrLst meth="repeat">
      <a:schemeClr val="lt1"/>
    </dgm:linClrLst>
    <dgm:effectClrLst/>
    <dgm:txLinClrLst/>
    <dgm:txFillClrLst/>
    <dgm:txEffectClrLst/>
  </dgm:styleLbl>
  <dgm:styleLbl name="node3">
    <dgm:fillClrLst meth="repeat">
      <a:schemeClr val="accent2"/>
    </dgm:fillClrLst>
    <dgm:linClrLst meth="repeat">
      <a:schemeClr val="lt1"/>
    </dgm:linClrLst>
    <dgm:effectClrLst/>
    <dgm:txLinClrLst/>
    <dgm:txFillClrLst/>
    <dgm:txEffectClrLst/>
  </dgm:styleLbl>
  <dgm:styleLbl name="node4">
    <dgm:fillClrLst meth="repeat">
      <a:schemeClr val="accent2"/>
    </dgm:fillClrLst>
    <dgm:linClrLst meth="repeat">
      <a:schemeClr val="lt1"/>
    </dgm:linClrLst>
    <dgm:effectClrLst/>
    <dgm:txLinClrLst/>
    <dgm:txFillClrLst/>
    <dgm:txEffectClrLst/>
  </dgm:styleLbl>
  <dgm:styleLbl name="fgImgPlace1">
    <dgm:fillClrLst meth="repeat">
      <a:schemeClr val="accent2">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2">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2">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2">
        <a:tint val="60000"/>
      </a:schemeClr>
    </dgm:fillClrLst>
    <dgm:linClrLst meth="repeat">
      <a:schemeClr val="accent2">
        <a:tint val="60000"/>
      </a:schemeClr>
    </dgm:linClrLst>
    <dgm:effectClrLst/>
    <dgm:txLinClrLst/>
    <dgm:txFillClrLst/>
    <dgm:txEffectClrLst/>
  </dgm:styleLbl>
  <dgm:styleLbl name="fgSibTrans2D1">
    <dgm:fillClrLst meth="repeat">
      <a:schemeClr val="accent2">
        <a:tint val="60000"/>
      </a:schemeClr>
    </dgm:fillClrLst>
    <dgm:linClrLst meth="repeat">
      <a:schemeClr val="accent2">
        <a:tint val="60000"/>
      </a:schemeClr>
    </dgm:linClrLst>
    <dgm:effectClrLst/>
    <dgm:txLinClrLst/>
    <dgm:txFillClrLst/>
    <dgm:txEffectClrLst/>
  </dgm:styleLbl>
  <dgm:styleLbl name="bgSibTrans2D1">
    <dgm:fillClrLst meth="repeat">
      <a:schemeClr val="accent2">
        <a:tint val="60000"/>
      </a:schemeClr>
    </dgm:fillClrLst>
    <dgm:linClrLst meth="repeat">
      <a:schemeClr val="accent2">
        <a:tint val="60000"/>
      </a:schemeClr>
    </dgm:linClrLst>
    <dgm:effectClrLst/>
    <dgm:txLinClrLst/>
    <dgm:txFillClrLst/>
    <dgm:txEffectClrLst/>
  </dgm:styleLbl>
  <dgm:styleLbl name="sibTrans1D1">
    <dgm:fillClrLst meth="repeat">
      <a:schemeClr val="accent2"/>
    </dgm:fillClrLst>
    <dgm:linClrLst meth="repeat">
      <a:schemeClr val="accent2"/>
    </dgm:linClrLst>
    <dgm:effectClrLst/>
    <dgm:txLinClrLst/>
    <dgm:txFillClrLst meth="repeat">
      <a:schemeClr val="tx1"/>
    </dgm:txFillClrLst>
    <dgm:txEffectClrLst/>
  </dgm:styleLbl>
  <dgm:styleLbl name="callout">
    <dgm:fillClrLst meth="repeat">
      <a:schemeClr val="accent2"/>
    </dgm:fillClrLst>
    <dgm:linClrLst meth="repeat">
      <a:schemeClr val="accent2">
        <a:tint val="50000"/>
      </a:schemeClr>
    </dgm:linClrLst>
    <dgm:effectClrLst/>
    <dgm:txLinClrLst/>
    <dgm:txFillClrLst meth="repeat">
      <a:schemeClr val="tx1"/>
    </dgm:txFillClrLst>
    <dgm:txEffectClrLst/>
  </dgm:styleLbl>
  <dgm:styleLbl name="asst0">
    <dgm:fillClrLst meth="repeat">
      <a:schemeClr val="accent2"/>
    </dgm:fillClrLst>
    <dgm:linClrLst meth="repeat">
      <a:schemeClr val="lt1"/>
    </dgm:linClrLst>
    <dgm:effectClrLst/>
    <dgm:txLinClrLst/>
    <dgm:txFillClrLst/>
    <dgm:txEffectClrLst/>
  </dgm:styleLbl>
  <dgm:styleLbl name="asst1">
    <dgm:fillClrLst meth="repeat">
      <a:schemeClr val="accent2"/>
    </dgm:fillClrLst>
    <dgm:linClrLst meth="repeat">
      <a:schemeClr val="lt1"/>
    </dgm:linClrLst>
    <dgm:effectClrLst/>
    <dgm:txLinClrLst/>
    <dgm:txFillClrLst/>
    <dgm:txEffectClrLst/>
  </dgm:styleLbl>
  <dgm:styleLbl name="asst2">
    <dgm:fillClrLst meth="repeat">
      <a:schemeClr val="accent2"/>
    </dgm:fillClrLst>
    <dgm:linClrLst meth="repeat">
      <a:schemeClr val="lt1"/>
    </dgm:linClrLst>
    <dgm:effectClrLst/>
    <dgm:txLinClrLst/>
    <dgm:txFillClrLst/>
    <dgm:txEffectClrLst/>
  </dgm:styleLbl>
  <dgm:styleLbl name="asst3">
    <dgm:fillClrLst meth="repeat">
      <a:schemeClr val="accent2"/>
    </dgm:fillClrLst>
    <dgm:linClrLst meth="repeat">
      <a:schemeClr val="lt1"/>
    </dgm:linClrLst>
    <dgm:effectClrLst/>
    <dgm:txLinClrLst/>
    <dgm:txFillClrLst/>
    <dgm:txEffectClrLst/>
  </dgm:styleLbl>
  <dgm:styleLbl name="asst4">
    <dgm:fillClrLst meth="repeat">
      <a:schemeClr val="accent2"/>
    </dgm:fillClrLst>
    <dgm:linClrLst meth="repeat">
      <a:schemeClr val="lt1"/>
    </dgm:linClrLst>
    <dgm:effectClrLst/>
    <dgm:txLinClrLst/>
    <dgm:txFillClrLst/>
    <dgm:txEffectClrLst/>
  </dgm:styleLbl>
  <dgm:styleLbl name="parChTrans2D1">
    <dgm:fillClrLst meth="repeat">
      <a:schemeClr val="accent2">
        <a:tint val="60000"/>
      </a:schemeClr>
    </dgm:fillClrLst>
    <dgm:linClrLst meth="repeat">
      <a:schemeClr val="accent2">
        <a:tint val="60000"/>
      </a:schemeClr>
    </dgm:linClrLst>
    <dgm:effectClrLst/>
    <dgm:txLinClrLst/>
    <dgm:txFillClrLst meth="repeat">
      <a:schemeClr val="lt1"/>
    </dgm:txFillClrLst>
    <dgm:txEffectClrLst/>
  </dgm:styleLbl>
  <dgm:styleLbl name="parChTrans2D2">
    <dgm:fillClrLst meth="repeat">
      <a:schemeClr val="accent2"/>
    </dgm:fillClrLst>
    <dgm:linClrLst meth="repeat">
      <a:schemeClr val="accent2"/>
    </dgm:linClrLst>
    <dgm:effectClrLst/>
    <dgm:txLinClrLst/>
    <dgm:txFillClrLst meth="repeat">
      <a:schemeClr val="lt1"/>
    </dgm:txFillClrLst>
    <dgm:txEffectClrLst/>
  </dgm:styleLbl>
  <dgm:styleLbl name="parChTrans2D3">
    <dgm:fillClrLst meth="repeat">
      <a:schemeClr val="accent2"/>
    </dgm:fillClrLst>
    <dgm:linClrLst meth="repeat">
      <a:schemeClr val="accent2"/>
    </dgm:linClrLst>
    <dgm:effectClrLst/>
    <dgm:txLinClrLst/>
    <dgm:txFillClrLst meth="repeat">
      <a:schemeClr val="lt1"/>
    </dgm:txFillClrLst>
    <dgm:txEffectClrLst/>
  </dgm:styleLbl>
  <dgm:styleLbl name="parChTrans2D4">
    <dgm:fillClrLst meth="repeat">
      <a:schemeClr val="accent2"/>
    </dgm:fillClrLst>
    <dgm:linClrLst meth="repeat">
      <a:schemeClr val="accent2"/>
    </dgm:linClrLst>
    <dgm:effectClrLst/>
    <dgm:txLinClrLst/>
    <dgm:txFillClrLst meth="repeat">
      <a:schemeClr val="lt1"/>
    </dgm:txFillClrLst>
    <dgm:txEffectClrLst/>
  </dgm:styleLbl>
  <dgm:styleLbl name="parChTrans1D1">
    <dgm:fillClrLst meth="repeat">
      <a:schemeClr val="accent2"/>
    </dgm:fillClrLst>
    <dgm:linClrLst meth="repeat">
      <a:schemeClr val="accent2">
        <a:shade val="60000"/>
      </a:schemeClr>
    </dgm:linClrLst>
    <dgm:effectClrLst/>
    <dgm:txLinClrLst/>
    <dgm:txFillClrLst meth="repeat">
      <a:schemeClr val="tx1"/>
    </dgm:txFillClrLst>
    <dgm:txEffectClrLst/>
  </dgm:styleLbl>
  <dgm:styleLbl name="parChTrans1D2">
    <dgm:fillClrLst meth="repeat">
      <a:schemeClr val="accent2"/>
    </dgm:fillClrLst>
    <dgm:linClrLst meth="repeat">
      <a:schemeClr val="accent2">
        <a:shade val="60000"/>
      </a:schemeClr>
    </dgm:linClrLst>
    <dgm:effectClrLst/>
    <dgm:txLinClrLst/>
    <dgm:txFillClrLst meth="repeat">
      <a:schemeClr val="tx1"/>
    </dgm:txFillClrLst>
    <dgm:txEffectClrLst/>
  </dgm:styleLbl>
  <dgm:styleLbl name="parChTrans1D3">
    <dgm:fillClrLst meth="repeat">
      <a:schemeClr val="accent2"/>
    </dgm:fillClrLst>
    <dgm:linClrLst meth="repeat">
      <a:schemeClr val="accent2">
        <a:shade val="80000"/>
      </a:schemeClr>
    </dgm:linClrLst>
    <dgm:effectClrLst/>
    <dgm:txLinClrLst/>
    <dgm:txFillClrLst meth="repeat">
      <a:schemeClr val="tx1"/>
    </dgm:txFillClrLst>
    <dgm:txEffectClrLst/>
  </dgm:styleLbl>
  <dgm:styleLbl name="parChTrans1D4">
    <dgm:fillClrLst meth="repeat">
      <a:schemeClr val="accent2"/>
    </dgm:fillClrLst>
    <dgm:linClrLst meth="repeat">
      <a:schemeClr val="accent2">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2"/>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solidFgAcc1">
    <dgm:fillClrLst meth="repeat">
      <a:schemeClr val="lt1"/>
    </dgm:fillClrLst>
    <dgm:linClrLst meth="repeat">
      <a:schemeClr val="accent2"/>
    </dgm:linClrLst>
    <dgm:effectClrLst/>
    <dgm:txLinClrLst/>
    <dgm:txFillClrLst meth="repeat">
      <a:schemeClr val="dk1"/>
    </dgm:txFillClrLst>
    <dgm:txEffectClrLst/>
  </dgm:styleLbl>
  <dgm:styleLbl name="solidAlignAcc1">
    <dgm:fillClrLst meth="repeat">
      <a:schemeClr val="lt1"/>
    </dgm:fillClrLst>
    <dgm:linClrLst meth="repeat">
      <a:schemeClr val="accent2"/>
    </dgm:linClrLst>
    <dgm:effectClrLst/>
    <dgm:txLinClrLst/>
    <dgm:txFillClrLst meth="repeat">
      <a:schemeClr val="dk1"/>
    </dgm:txFillClrLst>
    <dgm:txEffectClrLst/>
  </dgm:styleLbl>
  <dgm:styleLbl name="solidBgAcc1">
    <dgm:fillClrLst meth="repeat">
      <a:schemeClr val="lt1"/>
    </dgm:fillClrLst>
    <dgm:linClrLst meth="repeat">
      <a:schemeClr val="accent2"/>
    </dgm:linClrLst>
    <dgm:effectClrLst/>
    <dgm:txLinClrLst/>
    <dgm:txFillClrLst meth="repeat">
      <a:schemeClr val="dk1"/>
    </dgm:txFillClrLst>
    <dgm:txEffectClrLst/>
  </dgm:styleLbl>
  <dgm:styleLbl name="fgAccFollowNode1">
    <dgm:fillClrLst meth="repeat">
      <a:schemeClr val="accent2">
        <a:alpha val="90000"/>
        <a:tint val="40000"/>
      </a:schemeClr>
    </dgm:fillClrLst>
    <dgm:linClrLst meth="repeat">
      <a:schemeClr val="accent2">
        <a:alpha val="90000"/>
        <a:tint val="40000"/>
      </a:schemeClr>
    </dgm:linClrLst>
    <dgm:effectClrLst/>
    <dgm:txLinClrLst/>
    <dgm:txFillClrLst meth="repeat">
      <a:schemeClr val="dk1"/>
    </dgm:txFillClrLst>
    <dgm:txEffectClrLst/>
  </dgm:styleLbl>
  <dgm:styleLbl name="alignAccFollowNode1">
    <dgm:fillClrLst meth="repeat">
      <a:schemeClr val="accent2">
        <a:alpha val="90000"/>
        <a:tint val="40000"/>
      </a:schemeClr>
    </dgm:fillClrLst>
    <dgm:linClrLst meth="repeat">
      <a:schemeClr val="accent2">
        <a:alpha val="90000"/>
        <a:tint val="40000"/>
      </a:schemeClr>
    </dgm:linClrLst>
    <dgm:effectClrLst/>
    <dgm:txLinClrLst/>
    <dgm:txFillClrLst meth="repeat">
      <a:schemeClr val="dk1"/>
    </dgm:txFillClrLst>
    <dgm:txEffectClrLst/>
  </dgm:styleLbl>
  <dgm:styleLbl name="bgAccFollowNode1">
    <dgm:fillClrLst meth="repeat">
      <a:schemeClr val="accent2">
        <a:alpha val="90000"/>
        <a:tint val="40000"/>
      </a:schemeClr>
    </dgm:fillClrLst>
    <dgm:linClrLst meth="repeat">
      <a:schemeClr val="accent2">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bgShp">
    <dgm:fillClrLst meth="repeat">
      <a:schemeClr val="accent2">
        <a:tint val="40000"/>
      </a:schemeClr>
    </dgm:fillClrLst>
    <dgm:linClrLst meth="repeat">
      <a:schemeClr val="accent2"/>
    </dgm:linClrLst>
    <dgm:effectClrLst/>
    <dgm:txLinClrLst/>
    <dgm:txFillClrLst meth="repeat">
      <a:schemeClr val="dk1"/>
    </dgm:txFillClrLst>
    <dgm:txEffectClrLst/>
  </dgm:styleLbl>
  <dgm:styleLbl name="dkBgShp">
    <dgm:fillClrLst meth="repeat">
      <a:schemeClr val="accent2">
        <a:shade val="80000"/>
      </a:schemeClr>
    </dgm:fillClrLst>
    <dgm:linClrLst meth="repeat">
      <a:schemeClr val="accent2"/>
    </dgm:linClrLst>
    <dgm:effectClrLst/>
    <dgm:txLinClrLst/>
    <dgm:txFillClrLst meth="repeat">
      <a:schemeClr val="lt1"/>
    </dgm:txFillClrLst>
    <dgm:txEffectClrLst/>
  </dgm:styleLbl>
  <dgm:styleLbl name="trBgShp">
    <dgm:fillClrLst meth="repeat">
      <a:schemeClr val="accent2">
        <a:tint val="50000"/>
        <a:alpha val="40000"/>
      </a:schemeClr>
    </dgm:fillClrLst>
    <dgm:linClrLst meth="repeat">
      <a:schemeClr val="accent2"/>
    </dgm:linClrLst>
    <dgm:effectClrLst/>
    <dgm:txLinClrLst/>
    <dgm:txFillClrLst meth="repeat">
      <a:schemeClr val="lt1"/>
    </dgm:txFillClrLst>
    <dgm:txEffectClrLst/>
  </dgm:styleLbl>
  <dgm:styleLbl name="fgShp">
    <dgm:fillClrLst meth="repeat">
      <a:schemeClr val="accent2">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4.xml><?xml version="1.0" encoding="utf-8"?>
<dgm:colorsDef xmlns:dgm="http://schemas.openxmlformats.org/drawingml/2006/diagram" xmlns:a="http://schemas.openxmlformats.org/drawingml/2006/main" uniqueId="urn:microsoft.com/office/officeart/2005/8/colors/accent2_2">
  <dgm:title val=""/>
  <dgm:desc val=""/>
  <dgm:catLst>
    <dgm:cat type="accent2" pri="11200"/>
  </dgm:catLst>
  <dgm:styleLbl name="node0">
    <dgm:fillClrLst meth="repeat">
      <a:schemeClr val="accent2"/>
    </dgm:fillClrLst>
    <dgm:linClrLst meth="repeat">
      <a:schemeClr val="lt1"/>
    </dgm:linClrLst>
    <dgm:effectClrLst/>
    <dgm:txLinClrLst/>
    <dgm:txFillClrLst/>
    <dgm:txEffectClrLst/>
  </dgm:styleLbl>
  <dgm:styleLbl name="node1">
    <dgm:fillClrLst meth="repeat">
      <a:schemeClr val="accent2"/>
    </dgm:fillClrLst>
    <dgm:linClrLst meth="repeat">
      <a:schemeClr val="lt1"/>
    </dgm:linClrLst>
    <dgm:effectClrLst/>
    <dgm:txLinClrLst/>
    <dgm:txFillClrLst/>
    <dgm:txEffectClrLst/>
  </dgm:styleLbl>
  <dgm:styleLbl name="alignNode1">
    <dgm:fillClrLst meth="repeat">
      <a:schemeClr val="accent2"/>
    </dgm:fillClrLst>
    <dgm:linClrLst meth="repeat">
      <a:schemeClr val="accent2"/>
    </dgm:linClrLst>
    <dgm:effectClrLst/>
    <dgm:txLinClrLst/>
    <dgm:txFillClrLst/>
    <dgm:txEffectClrLst/>
  </dgm:styleLbl>
  <dgm:styleLbl name="lnNode1">
    <dgm:fillClrLst meth="repeat">
      <a:schemeClr val="accent2"/>
    </dgm:fillClrLst>
    <dgm:linClrLst meth="repeat">
      <a:schemeClr val="lt1"/>
    </dgm:linClrLst>
    <dgm:effectClrLst/>
    <dgm:txLinClrLst/>
    <dgm:txFillClrLst/>
    <dgm:txEffectClrLst/>
  </dgm:styleLbl>
  <dgm:styleLbl name="vennNode1">
    <dgm:fillClrLst meth="repeat">
      <a:schemeClr val="accent2">
        <a:alpha val="50000"/>
      </a:schemeClr>
    </dgm:fillClrLst>
    <dgm:linClrLst meth="repeat">
      <a:schemeClr val="lt1"/>
    </dgm:linClrLst>
    <dgm:effectClrLst/>
    <dgm:txLinClrLst/>
    <dgm:txFillClrLst/>
    <dgm:txEffectClrLst/>
  </dgm:styleLbl>
  <dgm:styleLbl name="node2">
    <dgm:fillClrLst meth="repeat">
      <a:schemeClr val="accent2"/>
    </dgm:fillClrLst>
    <dgm:linClrLst meth="repeat">
      <a:schemeClr val="lt1"/>
    </dgm:linClrLst>
    <dgm:effectClrLst/>
    <dgm:txLinClrLst/>
    <dgm:txFillClrLst/>
    <dgm:txEffectClrLst/>
  </dgm:styleLbl>
  <dgm:styleLbl name="node3">
    <dgm:fillClrLst meth="repeat">
      <a:schemeClr val="accent2"/>
    </dgm:fillClrLst>
    <dgm:linClrLst meth="repeat">
      <a:schemeClr val="lt1"/>
    </dgm:linClrLst>
    <dgm:effectClrLst/>
    <dgm:txLinClrLst/>
    <dgm:txFillClrLst/>
    <dgm:txEffectClrLst/>
  </dgm:styleLbl>
  <dgm:styleLbl name="node4">
    <dgm:fillClrLst meth="repeat">
      <a:schemeClr val="accent2"/>
    </dgm:fillClrLst>
    <dgm:linClrLst meth="repeat">
      <a:schemeClr val="lt1"/>
    </dgm:linClrLst>
    <dgm:effectClrLst/>
    <dgm:txLinClrLst/>
    <dgm:txFillClrLst/>
    <dgm:txEffectClrLst/>
  </dgm:styleLbl>
  <dgm:styleLbl name="fgImgPlace1">
    <dgm:fillClrLst meth="repeat">
      <a:schemeClr val="accent2">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2">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2">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2">
        <a:tint val="60000"/>
      </a:schemeClr>
    </dgm:fillClrLst>
    <dgm:linClrLst meth="repeat">
      <a:schemeClr val="accent2">
        <a:tint val="60000"/>
      </a:schemeClr>
    </dgm:linClrLst>
    <dgm:effectClrLst/>
    <dgm:txLinClrLst/>
    <dgm:txFillClrLst/>
    <dgm:txEffectClrLst/>
  </dgm:styleLbl>
  <dgm:styleLbl name="fgSibTrans2D1">
    <dgm:fillClrLst meth="repeat">
      <a:schemeClr val="accent2">
        <a:tint val="60000"/>
      </a:schemeClr>
    </dgm:fillClrLst>
    <dgm:linClrLst meth="repeat">
      <a:schemeClr val="accent2">
        <a:tint val="60000"/>
      </a:schemeClr>
    </dgm:linClrLst>
    <dgm:effectClrLst/>
    <dgm:txLinClrLst/>
    <dgm:txFillClrLst/>
    <dgm:txEffectClrLst/>
  </dgm:styleLbl>
  <dgm:styleLbl name="bgSibTrans2D1">
    <dgm:fillClrLst meth="repeat">
      <a:schemeClr val="accent2">
        <a:tint val="60000"/>
      </a:schemeClr>
    </dgm:fillClrLst>
    <dgm:linClrLst meth="repeat">
      <a:schemeClr val="accent2">
        <a:tint val="60000"/>
      </a:schemeClr>
    </dgm:linClrLst>
    <dgm:effectClrLst/>
    <dgm:txLinClrLst/>
    <dgm:txFillClrLst/>
    <dgm:txEffectClrLst/>
  </dgm:styleLbl>
  <dgm:styleLbl name="sibTrans1D1">
    <dgm:fillClrLst meth="repeat">
      <a:schemeClr val="accent2"/>
    </dgm:fillClrLst>
    <dgm:linClrLst meth="repeat">
      <a:schemeClr val="accent2"/>
    </dgm:linClrLst>
    <dgm:effectClrLst/>
    <dgm:txLinClrLst/>
    <dgm:txFillClrLst meth="repeat">
      <a:schemeClr val="tx1"/>
    </dgm:txFillClrLst>
    <dgm:txEffectClrLst/>
  </dgm:styleLbl>
  <dgm:styleLbl name="callout">
    <dgm:fillClrLst meth="repeat">
      <a:schemeClr val="accent2"/>
    </dgm:fillClrLst>
    <dgm:linClrLst meth="repeat">
      <a:schemeClr val="accent2">
        <a:tint val="50000"/>
      </a:schemeClr>
    </dgm:linClrLst>
    <dgm:effectClrLst/>
    <dgm:txLinClrLst/>
    <dgm:txFillClrLst meth="repeat">
      <a:schemeClr val="tx1"/>
    </dgm:txFillClrLst>
    <dgm:txEffectClrLst/>
  </dgm:styleLbl>
  <dgm:styleLbl name="asst0">
    <dgm:fillClrLst meth="repeat">
      <a:schemeClr val="accent2"/>
    </dgm:fillClrLst>
    <dgm:linClrLst meth="repeat">
      <a:schemeClr val="lt1"/>
    </dgm:linClrLst>
    <dgm:effectClrLst/>
    <dgm:txLinClrLst/>
    <dgm:txFillClrLst/>
    <dgm:txEffectClrLst/>
  </dgm:styleLbl>
  <dgm:styleLbl name="asst1">
    <dgm:fillClrLst meth="repeat">
      <a:schemeClr val="accent2"/>
    </dgm:fillClrLst>
    <dgm:linClrLst meth="repeat">
      <a:schemeClr val="lt1"/>
    </dgm:linClrLst>
    <dgm:effectClrLst/>
    <dgm:txLinClrLst/>
    <dgm:txFillClrLst/>
    <dgm:txEffectClrLst/>
  </dgm:styleLbl>
  <dgm:styleLbl name="asst2">
    <dgm:fillClrLst meth="repeat">
      <a:schemeClr val="accent2"/>
    </dgm:fillClrLst>
    <dgm:linClrLst meth="repeat">
      <a:schemeClr val="lt1"/>
    </dgm:linClrLst>
    <dgm:effectClrLst/>
    <dgm:txLinClrLst/>
    <dgm:txFillClrLst/>
    <dgm:txEffectClrLst/>
  </dgm:styleLbl>
  <dgm:styleLbl name="asst3">
    <dgm:fillClrLst meth="repeat">
      <a:schemeClr val="accent2"/>
    </dgm:fillClrLst>
    <dgm:linClrLst meth="repeat">
      <a:schemeClr val="lt1"/>
    </dgm:linClrLst>
    <dgm:effectClrLst/>
    <dgm:txLinClrLst/>
    <dgm:txFillClrLst/>
    <dgm:txEffectClrLst/>
  </dgm:styleLbl>
  <dgm:styleLbl name="asst4">
    <dgm:fillClrLst meth="repeat">
      <a:schemeClr val="accent2"/>
    </dgm:fillClrLst>
    <dgm:linClrLst meth="repeat">
      <a:schemeClr val="lt1"/>
    </dgm:linClrLst>
    <dgm:effectClrLst/>
    <dgm:txLinClrLst/>
    <dgm:txFillClrLst/>
    <dgm:txEffectClrLst/>
  </dgm:styleLbl>
  <dgm:styleLbl name="parChTrans2D1">
    <dgm:fillClrLst meth="repeat">
      <a:schemeClr val="accent2">
        <a:tint val="60000"/>
      </a:schemeClr>
    </dgm:fillClrLst>
    <dgm:linClrLst meth="repeat">
      <a:schemeClr val="accent2">
        <a:tint val="60000"/>
      </a:schemeClr>
    </dgm:linClrLst>
    <dgm:effectClrLst/>
    <dgm:txLinClrLst/>
    <dgm:txFillClrLst meth="repeat">
      <a:schemeClr val="lt1"/>
    </dgm:txFillClrLst>
    <dgm:txEffectClrLst/>
  </dgm:styleLbl>
  <dgm:styleLbl name="parChTrans2D2">
    <dgm:fillClrLst meth="repeat">
      <a:schemeClr val="accent2"/>
    </dgm:fillClrLst>
    <dgm:linClrLst meth="repeat">
      <a:schemeClr val="accent2"/>
    </dgm:linClrLst>
    <dgm:effectClrLst/>
    <dgm:txLinClrLst/>
    <dgm:txFillClrLst meth="repeat">
      <a:schemeClr val="lt1"/>
    </dgm:txFillClrLst>
    <dgm:txEffectClrLst/>
  </dgm:styleLbl>
  <dgm:styleLbl name="parChTrans2D3">
    <dgm:fillClrLst meth="repeat">
      <a:schemeClr val="accent2"/>
    </dgm:fillClrLst>
    <dgm:linClrLst meth="repeat">
      <a:schemeClr val="accent2"/>
    </dgm:linClrLst>
    <dgm:effectClrLst/>
    <dgm:txLinClrLst/>
    <dgm:txFillClrLst meth="repeat">
      <a:schemeClr val="lt1"/>
    </dgm:txFillClrLst>
    <dgm:txEffectClrLst/>
  </dgm:styleLbl>
  <dgm:styleLbl name="parChTrans2D4">
    <dgm:fillClrLst meth="repeat">
      <a:schemeClr val="accent2"/>
    </dgm:fillClrLst>
    <dgm:linClrLst meth="repeat">
      <a:schemeClr val="accent2"/>
    </dgm:linClrLst>
    <dgm:effectClrLst/>
    <dgm:txLinClrLst/>
    <dgm:txFillClrLst meth="repeat">
      <a:schemeClr val="lt1"/>
    </dgm:txFillClrLst>
    <dgm:txEffectClrLst/>
  </dgm:styleLbl>
  <dgm:styleLbl name="parChTrans1D1">
    <dgm:fillClrLst meth="repeat">
      <a:schemeClr val="accent2"/>
    </dgm:fillClrLst>
    <dgm:linClrLst meth="repeat">
      <a:schemeClr val="accent2">
        <a:shade val="60000"/>
      </a:schemeClr>
    </dgm:linClrLst>
    <dgm:effectClrLst/>
    <dgm:txLinClrLst/>
    <dgm:txFillClrLst meth="repeat">
      <a:schemeClr val="tx1"/>
    </dgm:txFillClrLst>
    <dgm:txEffectClrLst/>
  </dgm:styleLbl>
  <dgm:styleLbl name="parChTrans1D2">
    <dgm:fillClrLst meth="repeat">
      <a:schemeClr val="accent2"/>
    </dgm:fillClrLst>
    <dgm:linClrLst meth="repeat">
      <a:schemeClr val="accent2">
        <a:shade val="60000"/>
      </a:schemeClr>
    </dgm:linClrLst>
    <dgm:effectClrLst/>
    <dgm:txLinClrLst/>
    <dgm:txFillClrLst meth="repeat">
      <a:schemeClr val="tx1"/>
    </dgm:txFillClrLst>
    <dgm:txEffectClrLst/>
  </dgm:styleLbl>
  <dgm:styleLbl name="parChTrans1D3">
    <dgm:fillClrLst meth="repeat">
      <a:schemeClr val="accent2"/>
    </dgm:fillClrLst>
    <dgm:linClrLst meth="repeat">
      <a:schemeClr val="accent2">
        <a:shade val="80000"/>
      </a:schemeClr>
    </dgm:linClrLst>
    <dgm:effectClrLst/>
    <dgm:txLinClrLst/>
    <dgm:txFillClrLst meth="repeat">
      <a:schemeClr val="tx1"/>
    </dgm:txFillClrLst>
    <dgm:txEffectClrLst/>
  </dgm:styleLbl>
  <dgm:styleLbl name="parChTrans1D4">
    <dgm:fillClrLst meth="repeat">
      <a:schemeClr val="accent2"/>
    </dgm:fillClrLst>
    <dgm:linClrLst meth="repeat">
      <a:schemeClr val="accent2">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2"/>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solidFgAcc1">
    <dgm:fillClrLst meth="repeat">
      <a:schemeClr val="lt1"/>
    </dgm:fillClrLst>
    <dgm:linClrLst meth="repeat">
      <a:schemeClr val="accent2"/>
    </dgm:linClrLst>
    <dgm:effectClrLst/>
    <dgm:txLinClrLst/>
    <dgm:txFillClrLst meth="repeat">
      <a:schemeClr val="dk1"/>
    </dgm:txFillClrLst>
    <dgm:txEffectClrLst/>
  </dgm:styleLbl>
  <dgm:styleLbl name="solidAlignAcc1">
    <dgm:fillClrLst meth="repeat">
      <a:schemeClr val="lt1"/>
    </dgm:fillClrLst>
    <dgm:linClrLst meth="repeat">
      <a:schemeClr val="accent2"/>
    </dgm:linClrLst>
    <dgm:effectClrLst/>
    <dgm:txLinClrLst/>
    <dgm:txFillClrLst meth="repeat">
      <a:schemeClr val="dk1"/>
    </dgm:txFillClrLst>
    <dgm:txEffectClrLst/>
  </dgm:styleLbl>
  <dgm:styleLbl name="solidBgAcc1">
    <dgm:fillClrLst meth="repeat">
      <a:schemeClr val="lt1"/>
    </dgm:fillClrLst>
    <dgm:linClrLst meth="repeat">
      <a:schemeClr val="accent2"/>
    </dgm:linClrLst>
    <dgm:effectClrLst/>
    <dgm:txLinClrLst/>
    <dgm:txFillClrLst meth="repeat">
      <a:schemeClr val="dk1"/>
    </dgm:txFillClrLst>
    <dgm:txEffectClrLst/>
  </dgm:styleLbl>
  <dgm:styleLbl name="fgAccFollowNode1">
    <dgm:fillClrLst meth="repeat">
      <a:schemeClr val="accent2">
        <a:alpha val="90000"/>
        <a:tint val="40000"/>
      </a:schemeClr>
    </dgm:fillClrLst>
    <dgm:linClrLst meth="repeat">
      <a:schemeClr val="accent2">
        <a:alpha val="90000"/>
        <a:tint val="40000"/>
      </a:schemeClr>
    </dgm:linClrLst>
    <dgm:effectClrLst/>
    <dgm:txLinClrLst/>
    <dgm:txFillClrLst meth="repeat">
      <a:schemeClr val="dk1"/>
    </dgm:txFillClrLst>
    <dgm:txEffectClrLst/>
  </dgm:styleLbl>
  <dgm:styleLbl name="alignAccFollowNode1">
    <dgm:fillClrLst meth="repeat">
      <a:schemeClr val="accent2">
        <a:alpha val="90000"/>
        <a:tint val="40000"/>
      </a:schemeClr>
    </dgm:fillClrLst>
    <dgm:linClrLst meth="repeat">
      <a:schemeClr val="accent2">
        <a:alpha val="90000"/>
        <a:tint val="40000"/>
      </a:schemeClr>
    </dgm:linClrLst>
    <dgm:effectClrLst/>
    <dgm:txLinClrLst/>
    <dgm:txFillClrLst meth="repeat">
      <a:schemeClr val="dk1"/>
    </dgm:txFillClrLst>
    <dgm:txEffectClrLst/>
  </dgm:styleLbl>
  <dgm:styleLbl name="bgAccFollowNode1">
    <dgm:fillClrLst meth="repeat">
      <a:schemeClr val="accent2">
        <a:alpha val="90000"/>
        <a:tint val="40000"/>
      </a:schemeClr>
    </dgm:fillClrLst>
    <dgm:linClrLst meth="repeat">
      <a:schemeClr val="accent2">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bgShp">
    <dgm:fillClrLst meth="repeat">
      <a:schemeClr val="accent2">
        <a:tint val="40000"/>
      </a:schemeClr>
    </dgm:fillClrLst>
    <dgm:linClrLst meth="repeat">
      <a:schemeClr val="accent2"/>
    </dgm:linClrLst>
    <dgm:effectClrLst/>
    <dgm:txLinClrLst/>
    <dgm:txFillClrLst meth="repeat">
      <a:schemeClr val="dk1"/>
    </dgm:txFillClrLst>
    <dgm:txEffectClrLst/>
  </dgm:styleLbl>
  <dgm:styleLbl name="dkBgShp">
    <dgm:fillClrLst meth="repeat">
      <a:schemeClr val="accent2">
        <a:shade val="80000"/>
      </a:schemeClr>
    </dgm:fillClrLst>
    <dgm:linClrLst meth="repeat">
      <a:schemeClr val="accent2"/>
    </dgm:linClrLst>
    <dgm:effectClrLst/>
    <dgm:txLinClrLst/>
    <dgm:txFillClrLst meth="repeat">
      <a:schemeClr val="lt1"/>
    </dgm:txFillClrLst>
    <dgm:txEffectClrLst/>
  </dgm:styleLbl>
  <dgm:styleLbl name="trBgShp">
    <dgm:fillClrLst meth="repeat">
      <a:schemeClr val="accent2">
        <a:tint val="50000"/>
        <a:alpha val="40000"/>
      </a:schemeClr>
    </dgm:fillClrLst>
    <dgm:linClrLst meth="repeat">
      <a:schemeClr val="accent2"/>
    </dgm:linClrLst>
    <dgm:effectClrLst/>
    <dgm:txLinClrLst/>
    <dgm:txFillClrLst meth="repeat">
      <a:schemeClr val="lt1"/>
    </dgm:txFillClrLst>
    <dgm:txEffectClrLst/>
  </dgm:styleLbl>
  <dgm:styleLbl name="fgShp">
    <dgm:fillClrLst meth="repeat">
      <a:schemeClr val="accent2">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B8421806-6DD4-4280-AB4E-8475FF2BC7B5}" type="doc">
      <dgm:prSet loTypeId="urn:microsoft.com/office/officeart/2005/8/layout/hChevron3" loCatId="process" qsTypeId="urn:microsoft.com/office/officeart/2005/8/quickstyle/simple1" qsCatId="simple" csTypeId="urn:microsoft.com/office/officeart/2005/8/colors/accent2_2" csCatId="accent2" phldr="1"/>
      <dgm:spPr/>
      <dgm:t>
        <a:bodyPr/>
        <a:lstStyle/>
        <a:p>
          <a:endParaRPr lang="en-US"/>
        </a:p>
      </dgm:t>
    </dgm:pt>
    <dgm:pt modelId="{762D1DA6-49EA-4CDB-962A-304A5AEB4579}">
      <dgm:prSet phldrT="[Text]"/>
      <dgm:spPr/>
      <dgm:t>
        <a:bodyPr/>
        <a:lstStyle/>
        <a:p>
          <a:r>
            <a:rPr lang="en-US" b="1"/>
            <a:t>Step 1 </a:t>
          </a:r>
        </a:p>
      </dgm:t>
    </dgm:pt>
    <dgm:pt modelId="{5DAF41C1-177B-4E7A-B56F-FEFA1FDD04C2}" type="parTrans" cxnId="{8F09C9D0-D50C-477E-94AF-0B649E304562}">
      <dgm:prSet/>
      <dgm:spPr/>
      <dgm:t>
        <a:bodyPr/>
        <a:lstStyle/>
        <a:p>
          <a:endParaRPr lang="en-US" b="1"/>
        </a:p>
      </dgm:t>
    </dgm:pt>
    <dgm:pt modelId="{54F37F2C-0DCD-4F01-AB31-D41F37556CD9}" type="sibTrans" cxnId="{8F09C9D0-D50C-477E-94AF-0B649E304562}">
      <dgm:prSet/>
      <dgm:spPr/>
      <dgm:t>
        <a:bodyPr/>
        <a:lstStyle/>
        <a:p>
          <a:endParaRPr lang="en-US" b="1"/>
        </a:p>
      </dgm:t>
    </dgm:pt>
    <dgm:pt modelId="{AD97DA52-4754-4CE4-9ED2-FD3B9F1B8DA5}">
      <dgm:prSet phldrT="[Text]"/>
      <dgm:spPr>
        <a:solidFill>
          <a:schemeClr val="accent2">
            <a:lumMod val="50000"/>
          </a:schemeClr>
        </a:solidFill>
      </dgm:spPr>
      <dgm:t>
        <a:bodyPr/>
        <a:lstStyle/>
        <a:p>
          <a:r>
            <a:rPr lang="en-US" b="1"/>
            <a:t>Step 2</a:t>
          </a:r>
        </a:p>
      </dgm:t>
    </dgm:pt>
    <dgm:pt modelId="{F01045F3-717F-4F35-99E1-CE08B97C07F7}" type="parTrans" cxnId="{8753D19A-4E74-4053-BD07-A349F819655A}">
      <dgm:prSet/>
      <dgm:spPr/>
      <dgm:t>
        <a:bodyPr/>
        <a:lstStyle/>
        <a:p>
          <a:endParaRPr lang="en-US" b="1"/>
        </a:p>
      </dgm:t>
    </dgm:pt>
    <dgm:pt modelId="{195D1DF0-A405-45E3-93A8-6DDC7F3263CA}" type="sibTrans" cxnId="{8753D19A-4E74-4053-BD07-A349F819655A}">
      <dgm:prSet/>
      <dgm:spPr/>
      <dgm:t>
        <a:bodyPr/>
        <a:lstStyle/>
        <a:p>
          <a:endParaRPr lang="en-US" b="1"/>
        </a:p>
      </dgm:t>
    </dgm:pt>
    <dgm:pt modelId="{E2323A39-F59C-4AEE-A593-42D0A88D2023}">
      <dgm:prSet phldrT="[Text]"/>
      <dgm:spPr/>
      <dgm:t>
        <a:bodyPr/>
        <a:lstStyle/>
        <a:p>
          <a:r>
            <a:rPr lang="en-US" b="1"/>
            <a:t>Step 3</a:t>
          </a:r>
        </a:p>
      </dgm:t>
    </dgm:pt>
    <dgm:pt modelId="{C9C81BEA-8D2F-4046-9AF9-9173E3836ABB}" type="parTrans" cxnId="{0A855972-E999-4C55-A89B-FBD7D58D3D3F}">
      <dgm:prSet/>
      <dgm:spPr/>
      <dgm:t>
        <a:bodyPr/>
        <a:lstStyle/>
        <a:p>
          <a:endParaRPr lang="en-US" b="1"/>
        </a:p>
      </dgm:t>
    </dgm:pt>
    <dgm:pt modelId="{C0A00DEF-D161-4176-9D50-11D4B0EF2241}" type="sibTrans" cxnId="{0A855972-E999-4C55-A89B-FBD7D58D3D3F}">
      <dgm:prSet/>
      <dgm:spPr/>
      <dgm:t>
        <a:bodyPr/>
        <a:lstStyle/>
        <a:p>
          <a:endParaRPr lang="en-US" b="1"/>
        </a:p>
      </dgm:t>
    </dgm:pt>
    <dgm:pt modelId="{B81D8811-5D2D-4CEF-AB0C-3E4C88A02ED2}">
      <dgm:prSet phldrT="[Text]"/>
      <dgm:spPr/>
      <dgm:t>
        <a:bodyPr/>
        <a:lstStyle/>
        <a:p>
          <a:r>
            <a:rPr lang="en-US" b="1"/>
            <a:t>Step 4</a:t>
          </a:r>
        </a:p>
      </dgm:t>
    </dgm:pt>
    <dgm:pt modelId="{74972EDE-2384-405E-AC3C-22FD3E27137E}" type="parTrans" cxnId="{B893CDE9-0202-4C5F-AD8B-E4713642D0F7}">
      <dgm:prSet/>
      <dgm:spPr/>
      <dgm:t>
        <a:bodyPr/>
        <a:lstStyle/>
        <a:p>
          <a:endParaRPr lang="en-US" b="1"/>
        </a:p>
      </dgm:t>
    </dgm:pt>
    <dgm:pt modelId="{75941F92-8299-4841-BB39-CF0C2E38032D}" type="sibTrans" cxnId="{B893CDE9-0202-4C5F-AD8B-E4713642D0F7}">
      <dgm:prSet/>
      <dgm:spPr/>
      <dgm:t>
        <a:bodyPr/>
        <a:lstStyle/>
        <a:p>
          <a:endParaRPr lang="en-US" b="1"/>
        </a:p>
      </dgm:t>
    </dgm:pt>
    <dgm:pt modelId="{85B9B320-1EE9-4BE0-B8CC-2B1C974A62D6}">
      <dgm:prSet phldrT="[Text]"/>
      <dgm:spPr/>
      <dgm:t>
        <a:bodyPr/>
        <a:lstStyle/>
        <a:p>
          <a:r>
            <a:rPr lang="en-US" b="1"/>
            <a:t>Step 5</a:t>
          </a:r>
        </a:p>
      </dgm:t>
    </dgm:pt>
    <dgm:pt modelId="{38B7F6C2-EA6B-4FEA-A344-CA8EA010F3D1}" type="parTrans" cxnId="{618E6366-7F0E-4042-8BEF-054732F49D0C}">
      <dgm:prSet/>
      <dgm:spPr/>
      <dgm:t>
        <a:bodyPr/>
        <a:lstStyle/>
        <a:p>
          <a:endParaRPr lang="en-US" b="1"/>
        </a:p>
      </dgm:t>
    </dgm:pt>
    <dgm:pt modelId="{D410CFBF-2C49-40C7-8A39-9F1A1453792C}" type="sibTrans" cxnId="{618E6366-7F0E-4042-8BEF-054732F49D0C}">
      <dgm:prSet/>
      <dgm:spPr/>
      <dgm:t>
        <a:bodyPr/>
        <a:lstStyle/>
        <a:p>
          <a:endParaRPr lang="en-US" b="1"/>
        </a:p>
      </dgm:t>
    </dgm:pt>
    <dgm:pt modelId="{CFB8BFEE-67F4-4D47-8069-50F948D04028}">
      <dgm:prSet phldrT="[Text]"/>
      <dgm:spPr/>
      <dgm:t>
        <a:bodyPr/>
        <a:lstStyle/>
        <a:p>
          <a:r>
            <a:rPr lang="en-US" b="1"/>
            <a:t>Step 6</a:t>
          </a:r>
        </a:p>
      </dgm:t>
    </dgm:pt>
    <dgm:pt modelId="{955D0B11-27AE-494B-8A33-7C619F043FD6}" type="parTrans" cxnId="{94C4D290-5DD0-4BE5-88D9-E487CFAFCA45}">
      <dgm:prSet/>
      <dgm:spPr/>
      <dgm:t>
        <a:bodyPr/>
        <a:lstStyle/>
        <a:p>
          <a:endParaRPr lang="en-US" b="1"/>
        </a:p>
      </dgm:t>
    </dgm:pt>
    <dgm:pt modelId="{A60641BC-8904-41A4-BFF6-A9C3C44A5028}" type="sibTrans" cxnId="{94C4D290-5DD0-4BE5-88D9-E487CFAFCA45}">
      <dgm:prSet/>
      <dgm:spPr/>
      <dgm:t>
        <a:bodyPr/>
        <a:lstStyle/>
        <a:p>
          <a:endParaRPr lang="en-US" b="1"/>
        </a:p>
      </dgm:t>
    </dgm:pt>
    <dgm:pt modelId="{657926D8-9ED6-4620-8D1F-B6AD07FE8209}">
      <dgm:prSet phldrT="[Text]"/>
      <dgm:spPr/>
      <dgm:t>
        <a:bodyPr/>
        <a:lstStyle/>
        <a:p>
          <a:r>
            <a:rPr lang="en-US" b="1"/>
            <a:t>Assessment of Needs</a:t>
          </a:r>
        </a:p>
      </dgm:t>
    </dgm:pt>
    <dgm:pt modelId="{469AB447-BFC2-4580-AAE5-5393399158B6}" type="parTrans" cxnId="{5DF0A151-70A1-4B2F-84AC-A9FC8D741F64}">
      <dgm:prSet/>
      <dgm:spPr/>
      <dgm:t>
        <a:bodyPr/>
        <a:lstStyle/>
        <a:p>
          <a:endParaRPr lang="en-US" b="1"/>
        </a:p>
      </dgm:t>
    </dgm:pt>
    <dgm:pt modelId="{F60D5874-D2C7-46BA-9859-4BA718E792D4}" type="sibTrans" cxnId="{5DF0A151-70A1-4B2F-84AC-A9FC8D741F64}">
      <dgm:prSet/>
      <dgm:spPr/>
      <dgm:t>
        <a:bodyPr/>
        <a:lstStyle/>
        <a:p>
          <a:endParaRPr lang="en-US" b="1"/>
        </a:p>
      </dgm:t>
    </dgm:pt>
    <dgm:pt modelId="{A7A85185-0EB0-49C1-93E0-E65A2DD2A572}">
      <dgm:prSet phldrT="[Text]"/>
      <dgm:spPr>
        <a:solidFill>
          <a:schemeClr val="accent2">
            <a:lumMod val="50000"/>
          </a:schemeClr>
        </a:solidFill>
      </dgm:spPr>
      <dgm:t>
        <a:bodyPr/>
        <a:lstStyle/>
        <a:p>
          <a:r>
            <a:rPr lang="en-US" b="1"/>
            <a:t>Concept Development and Feasibility</a:t>
          </a:r>
        </a:p>
      </dgm:t>
    </dgm:pt>
    <dgm:pt modelId="{F182B4E2-AC40-4679-91E5-C00FD96021C7}" type="parTrans" cxnId="{91B21185-365C-4004-8D1B-52553C1DC45D}">
      <dgm:prSet/>
      <dgm:spPr/>
      <dgm:t>
        <a:bodyPr/>
        <a:lstStyle/>
        <a:p>
          <a:endParaRPr lang="en-US" b="1"/>
        </a:p>
      </dgm:t>
    </dgm:pt>
    <dgm:pt modelId="{3C2458CB-317E-4072-9E46-8615533447BE}" type="sibTrans" cxnId="{91B21185-365C-4004-8D1B-52553C1DC45D}">
      <dgm:prSet/>
      <dgm:spPr/>
      <dgm:t>
        <a:bodyPr/>
        <a:lstStyle/>
        <a:p>
          <a:endParaRPr lang="en-US" b="1"/>
        </a:p>
      </dgm:t>
    </dgm:pt>
    <dgm:pt modelId="{256630C1-81A7-4FD0-B2E5-A0B5678A4405}">
      <dgm:prSet phldrT="[Text]"/>
      <dgm:spPr/>
      <dgm:t>
        <a:bodyPr/>
        <a:lstStyle/>
        <a:p>
          <a:r>
            <a:rPr lang="en-US" b="1"/>
            <a:t>Detailed System Planning and Design</a:t>
          </a:r>
        </a:p>
      </dgm:t>
    </dgm:pt>
    <dgm:pt modelId="{A7677F52-2058-4476-AAC1-0DF91558C8DD}" type="parTrans" cxnId="{BAFC910F-77D6-4EEE-8027-51DBDCBE7C5B}">
      <dgm:prSet/>
      <dgm:spPr/>
      <dgm:t>
        <a:bodyPr/>
        <a:lstStyle/>
        <a:p>
          <a:endParaRPr lang="en-US" b="1"/>
        </a:p>
      </dgm:t>
    </dgm:pt>
    <dgm:pt modelId="{9D38F940-DDAD-4994-BABA-C5C47973159F}" type="sibTrans" cxnId="{BAFC910F-77D6-4EEE-8027-51DBDCBE7C5B}">
      <dgm:prSet/>
      <dgm:spPr/>
      <dgm:t>
        <a:bodyPr/>
        <a:lstStyle/>
        <a:p>
          <a:endParaRPr lang="en-US" b="1"/>
        </a:p>
      </dgm:t>
    </dgm:pt>
    <dgm:pt modelId="{1EE6A204-B6D5-490B-9BF2-91125F02F507}">
      <dgm:prSet phldrT="[Text]"/>
      <dgm:spPr/>
      <dgm:t>
        <a:bodyPr/>
        <a:lstStyle/>
        <a:p>
          <a:r>
            <a:rPr lang="en-US" b="1"/>
            <a:t>Procurement</a:t>
          </a:r>
        </a:p>
      </dgm:t>
    </dgm:pt>
    <dgm:pt modelId="{79CCCD12-2DAF-4D44-8EF5-B8006D2F5726}" type="parTrans" cxnId="{D910AAF5-6DBB-4AF0-94D5-CA9E601C3C6E}">
      <dgm:prSet/>
      <dgm:spPr/>
      <dgm:t>
        <a:bodyPr/>
        <a:lstStyle/>
        <a:p>
          <a:endParaRPr lang="en-US" b="1"/>
        </a:p>
      </dgm:t>
    </dgm:pt>
    <dgm:pt modelId="{884EFF13-3F03-48EB-92BD-A1F9638A0D2E}" type="sibTrans" cxnId="{D910AAF5-6DBB-4AF0-94D5-CA9E601C3C6E}">
      <dgm:prSet/>
      <dgm:spPr/>
      <dgm:t>
        <a:bodyPr/>
        <a:lstStyle/>
        <a:p>
          <a:endParaRPr lang="en-US" b="1"/>
        </a:p>
      </dgm:t>
    </dgm:pt>
    <dgm:pt modelId="{C38EDBD1-7674-4D3E-9D4B-FF1B3CDC87A0}">
      <dgm:prSet phldrT="[Text]"/>
      <dgm:spPr/>
      <dgm:t>
        <a:bodyPr/>
        <a:lstStyle/>
        <a:p>
          <a:r>
            <a:rPr lang="en-US" b="1"/>
            <a:t>System Deployment</a:t>
          </a:r>
        </a:p>
      </dgm:t>
    </dgm:pt>
    <dgm:pt modelId="{5DA471D5-8AEF-4C22-BAF8-365E348E9B24}" type="parTrans" cxnId="{A9BF5C4C-53F3-4588-9FD1-26DBC9150166}">
      <dgm:prSet/>
      <dgm:spPr/>
      <dgm:t>
        <a:bodyPr/>
        <a:lstStyle/>
        <a:p>
          <a:endParaRPr lang="en-US" b="1"/>
        </a:p>
      </dgm:t>
    </dgm:pt>
    <dgm:pt modelId="{B802B22E-5979-448F-991E-11797404A879}" type="sibTrans" cxnId="{A9BF5C4C-53F3-4588-9FD1-26DBC9150166}">
      <dgm:prSet/>
      <dgm:spPr/>
      <dgm:t>
        <a:bodyPr/>
        <a:lstStyle/>
        <a:p>
          <a:endParaRPr lang="en-US" b="1"/>
        </a:p>
      </dgm:t>
    </dgm:pt>
    <dgm:pt modelId="{94DB924B-4B31-4622-8E0B-A618246FBC54}">
      <dgm:prSet phldrT="[Text]"/>
      <dgm:spPr/>
      <dgm:t>
        <a:bodyPr/>
        <a:lstStyle/>
        <a:p>
          <a:r>
            <a:rPr lang="en-US" b="1"/>
            <a:t>System Operations, Maintenance and Evaluation </a:t>
          </a:r>
        </a:p>
      </dgm:t>
    </dgm:pt>
    <dgm:pt modelId="{B304AAB3-CE83-49EF-BB8C-56659372A380}" type="parTrans" cxnId="{1D215A00-4EB2-491F-88F4-94A72CA42D6B}">
      <dgm:prSet/>
      <dgm:spPr/>
      <dgm:t>
        <a:bodyPr/>
        <a:lstStyle/>
        <a:p>
          <a:endParaRPr lang="en-US" b="1"/>
        </a:p>
      </dgm:t>
    </dgm:pt>
    <dgm:pt modelId="{A6D58C1B-2F4C-43E1-9FD1-76994F8AB36B}" type="sibTrans" cxnId="{1D215A00-4EB2-491F-88F4-94A72CA42D6B}">
      <dgm:prSet/>
      <dgm:spPr/>
      <dgm:t>
        <a:bodyPr/>
        <a:lstStyle/>
        <a:p>
          <a:endParaRPr lang="en-US" b="1"/>
        </a:p>
      </dgm:t>
    </dgm:pt>
    <dgm:pt modelId="{3B676FC9-0CE1-4B92-92BB-317328D8444C}">
      <dgm:prSet phldrT="[Text]"/>
      <dgm:spPr>
        <a:solidFill>
          <a:schemeClr val="accent2">
            <a:lumMod val="50000"/>
          </a:schemeClr>
        </a:solidFill>
      </dgm:spPr>
      <dgm:t>
        <a:bodyPr/>
        <a:lstStyle/>
        <a:p>
          <a:r>
            <a:rPr lang="en-US" b="1"/>
            <a:t>FEASIBILITY WIZARD</a:t>
          </a:r>
        </a:p>
      </dgm:t>
    </dgm:pt>
    <dgm:pt modelId="{CC615540-C903-4D8D-9F73-FC436E9ACC60}" type="parTrans" cxnId="{007BE01E-A437-4550-84E7-DEB9B599B3EF}">
      <dgm:prSet/>
      <dgm:spPr/>
      <dgm:t>
        <a:bodyPr/>
        <a:lstStyle/>
        <a:p>
          <a:endParaRPr lang="en-US"/>
        </a:p>
      </dgm:t>
    </dgm:pt>
    <dgm:pt modelId="{D5B19101-787F-48C0-8BD6-5C7CAF34D795}" type="sibTrans" cxnId="{007BE01E-A437-4550-84E7-DEB9B599B3EF}">
      <dgm:prSet/>
      <dgm:spPr/>
      <dgm:t>
        <a:bodyPr/>
        <a:lstStyle/>
        <a:p>
          <a:endParaRPr lang="en-US"/>
        </a:p>
      </dgm:t>
    </dgm:pt>
    <dgm:pt modelId="{55A7A882-5A70-4444-B867-99FD1A53EB62}" type="pres">
      <dgm:prSet presAssocID="{B8421806-6DD4-4280-AB4E-8475FF2BC7B5}" presName="Name0" presStyleCnt="0">
        <dgm:presLayoutVars>
          <dgm:dir/>
          <dgm:resizeHandles val="exact"/>
        </dgm:presLayoutVars>
      </dgm:prSet>
      <dgm:spPr/>
    </dgm:pt>
    <dgm:pt modelId="{71B41537-7BC0-4A04-BEB0-E3D06D873071}" type="pres">
      <dgm:prSet presAssocID="{762D1DA6-49EA-4CDB-962A-304A5AEB4579}" presName="parAndChTx" presStyleLbl="node1" presStyleIdx="0" presStyleCnt="6">
        <dgm:presLayoutVars>
          <dgm:bulletEnabled val="1"/>
        </dgm:presLayoutVars>
      </dgm:prSet>
      <dgm:spPr/>
    </dgm:pt>
    <dgm:pt modelId="{4415FD86-A9B4-491F-BA5E-C3D5F93B6F9C}" type="pres">
      <dgm:prSet presAssocID="{54F37F2C-0DCD-4F01-AB31-D41F37556CD9}" presName="parAndChSpace" presStyleCnt="0"/>
      <dgm:spPr/>
    </dgm:pt>
    <dgm:pt modelId="{BBFD4B6D-84F5-4ADF-B5CE-8754B177FD2A}" type="pres">
      <dgm:prSet presAssocID="{AD97DA52-4754-4CE4-9ED2-FD3B9F1B8DA5}" presName="parAndChTx" presStyleLbl="node1" presStyleIdx="1" presStyleCnt="6">
        <dgm:presLayoutVars>
          <dgm:bulletEnabled val="1"/>
        </dgm:presLayoutVars>
      </dgm:prSet>
      <dgm:spPr/>
    </dgm:pt>
    <dgm:pt modelId="{6D0A797D-7721-4034-9CB0-C4B08E96DE5C}" type="pres">
      <dgm:prSet presAssocID="{195D1DF0-A405-45E3-93A8-6DDC7F3263CA}" presName="parAndChSpace" presStyleCnt="0"/>
      <dgm:spPr/>
    </dgm:pt>
    <dgm:pt modelId="{D01D49DE-684A-48AE-B439-6B7B11988782}" type="pres">
      <dgm:prSet presAssocID="{E2323A39-F59C-4AEE-A593-42D0A88D2023}" presName="parAndChTx" presStyleLbl="node1" presStyleIdx="2" presStyleCnt="6">
        <dgm:presLayoutVars>
          <dgm:bulletEnabled val="1"/>
        </dgm:presLayoutVars>
      </dgm:prSet>
      <dgm:spPr/>
    </dgm:pt>
    <dgm:pt modelId="{6253A275-A812-45AC-AB18-5AC647594515}" type="pres">
      <dgm:prSet presAssocID="{C0A00DEF-D161-4176-9D50-11D4B0EF2241}" presName="parAndChSpace" presStyleCnt="0"/>
      <dgm:spPr/>
    </dgm:pt>
    <dgm:pt modelId="{FB9E678D-517B-4064-8BE6-491B9CADBBA1}" type="pres">
      <dgm:prSet presAssocID="{B81D8811-5D2D-4CEF-AB0C-3E4C88A02ED2}" presName="parAndChTx" presStyleLbl="node1" presStyleIdx="3" presStyleCnt="6">
        <dgm:presLayoutVars>
          <dgm:bulletEnabled val="1"/>
        </dgm:presLayoutVars>
      </dgm:prSet>
      <dgm:spPr/>
    </dgm:pt>
    <dgm:pt modelId="{F8987408-0B75-4214-8523-04BD9C2F983C}" type="pres">
      <dgm:prSet presAssocID="{75941F92-8299-4841-BB39-CF0C2E38032D}" presName="parAndChSpace" presStyleCnt="0"/>
      <dgm:spPr/>
    </dgm:pt>
    <dgm:pt modelId="{A0E5C641-531F-47C4-8604-720EC38690FD}" type="pres">
      <dgm:prSet presAssocID="{85B9B320-1EE9-4BE0-B8CC-2B1C974A62D6}" presName="parAndChTx" presStyleLbl="node1" presStyleIdx="4" presStyleCnt="6">
        <dgm:presLayoutVars>
          <dgm:bulletEnabled val="1"/>
        </dgm:presLayoutVars>
      </dgm:prSet>
      <dgm:spPr/>
    </dgm:pt>
    <dgm:pt modelId="{53155E33-45D1-4C65-B374-1AFD4A336EFC}" type="pres">
      <dgm:prSet presAssocID="{D410CFBF-2C49-40C7-8A39-9F1A1453792C}" presName="parAndChSpace" presStyleCnt="0"/>
      <dgm:spPr/>
    </dgm:pt>
    <dgm:pt modelId="{221DFDEE-AD71-4B36-B382-07D1D7B438BC}" type="pres">
      <dgm:prSet presAssocID="{CFB8BFEE-67F4-4D47-8069-50F948D04028}" presName="parAndChTx" presStyleLbl="node1" presStyleIdx="5" presStyleCnt="6">
        <dgm:presLayoutVars>
          <dgm:bulletEnabled val="1"/>
        </dgm:presLayoutVars>
      </dgm:prSet>
      <dgm:spPr/>
    </dgm:pt>
  </dgm:ptLst>
  <dgm:cxnLst>
    <dgm:cxn modelId="{1D215A00-4EB2-491F-88F4-94A72CA42D6B}" srcId="{CFB8BFEE-67F4-4D47-8069-50F948D04028}" destId="{94DB924B-4B31-4622-8E0B-A618246FBC54}" srcOrd="0" destOrd="0" parTransId="{B304AAB3-CE83-49EF-BB8C-56659372A380}" sibTransId="{A6D58C1B-2F4C-43E1-9FD1-76994F8AB36B}"/>
    <dgm:cxn modelId="{BAFC910F-77D6-4EEE-8027-51DBDCBE7C5B}" srcId="{E2323A39-F59C-4AEE-A593-42D0A88D2023}" destId="{256630C1-81A7-4FD0-B2E5-A0B5678A4405}" srcOrd="0" destOrd="0" parTransId="{A7677F52-2058-4476-AAC1-0DF91558C8DD}" sibTransId="{9D38F940-DDAD-4994-BABA-C5C47973159F}"/>
    <dgm:cxn modelId="{0738DC10-2A83-4B57-91AC-F22539C3AB56}" type="presOf" srcId="{E2323A39-F59C-4AEE-A593-42D0A88D2023}" destId="{D01D49DE-684A-48AE-B439-6B7B11988782}" srcOrd="0" destOrd="0" presId="urn:microsoft.com/office/officeart/2005/8/layout/hChevron3"/>
    <dgm:cxn modelId="{007BE01E-A437-4550-84E7-DEB9B599B3EF}" srcId="{A7A85185-0EB0-49C1-93E0-E65A2DD2A572}" destId="{3B676FC9-0CE1-4B92-92BB-317328D8444C}" srcOrd="0" destOrd="0" parTransId="{CC615540-C903-4D8D-9F73-FC436E9ACC60}" sibTransId="{D5B19101-787F-48C0-8BD6-5C7CAF34D795}"/>
    <dgm:cxn modelId="{08378421-7F76-4183-A06D-25C9B74DB805}" type="presOf" srcId="{1EE6A204-B6D5-490B-9BF2-91125F02F507}" destId="{FB9E678D-517B-4064-8BE6-491B9CADBBA1}" srcOrd="0" destOrd="1" presId="urn:microsoft.com/office/officeart/2005/8/layout/hChevron3"/>
    <dgm:cxn modelId="{5AAD6928-FBD9-400A-BA3B-8C1150AF4E96}" type="presOf" srcId="{85B9B320-1EE9-4BE0-B8CC-2B1C974A62D6}" destId="{A0E5C641-531F-47C4-8604-720EC38690FD}" srcOrd="0" destOrd="0" presId="urn:microsoft.com/office/officeart/2005/8/layout/hChevron3"/>
    <dgm:cxn modelId="{0711C22E-19C7-4ADE-91F4-2376F7C2E83D}" type="presOf" srcId="{657926D8-9ED6-4620-8D1F-B6AD07FE8209}" destId="{71B41537-7BC0-4A04-BEB0-E3D06D873071}" srcOrd="0" destOrd="1" presId="urn:microsoft.com/office/officeart/2005/8/layout/hChevron3"/>
    <dgm:cxn modelId="{B0048231-0FBB-400E-AA9E-95556C277526}" type="presOf" srcId="{A7A85185-0EB0-49C1-93E0-E65A2DD2A572}" destId="{BBFD4B6D-84F5-4ADF-B5CE-8754B177FD2A}" srcOrd="0" destOrd="1" presId="urn:microsoft.com/office/officeart/2005/8/layout/hChevron3"/>
    <dgm:cxn modelId="{B5460066-F38D-47FB-B975-60A0EB7B6059}" type="presOf" srcId="{B81D8811-5D2D-4CEF-AB0C-3E4C88A02ED2}" destId="{FB9E678D-517B-4064-8BE6-491B9CADBBA1}" srcOrd="0" destOrd="0" presId="urn:microsoft.com/office/officeart/2005/8/layout/hChevron3"/>
    <dgm:cxn modelId="{618E6366-7F0E-4042-8BEF-054732F49D0C}" srcId="{B8421806-6DD4-4280-AB4E-8475FF2BC7B5}" destId="{85B9B320-1EE9-4BE0-B8CC-2B1C974A62D6}" srcOrd="4" destOrd="0" parTransId="{38B7F6C2-EA6B-4FEA-A344-CA8EA010F3D1}" sibTransId="{D410CFBF-2C49-40C7-8A39-9F1A1453792C}"/>
    <dgm:cxn modelId="{8F71564B-A23C-4E74-9003-1A54B298A7F6}" type="presOf" srcId="{AD97DA52-4754-4CE4-9ED2-FD3B9F1B8DA5}" destId="{BBFD4B6D-84F5-4ADF-B5CE-8754B177FD2A}" srcOrd="0" destOrd="0" presId="urn:microsoft.com/office/officeart/2005/8/layout/hChevron3"/>
    <dgm:cxn modelId="{A9BF5C4C-53F3-4588-9FD1-26DBC9150166}" srcId="{85B9B320-1EE9-4BE0-B8CC-2B1C974A62D6}" destId="{C38EDBD1-7674-4D3E-9D4B-FF1B3CDC87A0}" srcOrd="0" destOrd="0" parTransId="{5DA471D5-8AEF-4C22-BAF8-365E348E9B24}" sibTransId="{B802B22E-5979-448F-991E-11797404A879}"/>
    <dgm:cxn modelId="{5DF0A151-70A1-4B2F-84AC-A9FC8D741F64}" srcId="{762D1DA6-49EA-4CDB-962A-304A5AEB4579}" destId="{657926D8-9ED6-4620-8D1F-B6AD07FE8209}" srcOrd="0" destOrd="0" parTransId="{469AB447-BFC2-4580-AAE5-5393399158B6}" sibTransId="{F60D5874-D2C7-46BA-9859-4BA718E792D4}"/>
    <dgm:cxn modelId="{0A855972-E999-4C55-A89B-FBD7D58D3D3F}" srcId="{B8421806-6DD4-4280-AB4E-8475FF2BC7B5}" destId="{E2323A39-F59C-4AEE-A593-42D0A88D2023}" srcOrd="2" destOrd="0" parTransId="{C9C81BEA-8D2F-4046-9AF9-9173E3836ABB}" sibTransId="{C0A00DEF-D161-4176-9D50-11D4B0EF2241}"/>
    <dgm:cxn modelId="{91B21185-365C-4004-8D1B-52553C1DC45D}" srcId="{AD97DA52-4754-4CE4-9ED2-FD3B9F1B8DA5}" destId="{A7A85185-0EB0-49C1-93E0-E65A2DD2A572}" srcOrd="0" destOrd="0" parTransId="{F182B4E2-AC40-4679-91E5-C00FD96021C7}" sibTransId="{3C2458CB-317E-4072-9E46-8615533447BE}"/>
    <dgm:cxn modelId="{94C4D290-5DD0-4BE5-88D9-E487CFAFCA45}" srcId="{B8421806-6DD4-4280-AB4E-8475FF2BC7B5}" destId="{CFB8BFEE-67F4-4D47-8069-50F948D04028}" srcOrd="5" destOrd="0" parTransId="{955D0B11-27AE-494B-8A33-7C619F043FD6}" sibTransId="{A60641BC-8904-41A4-BFF6-A9C3C44A5028}"/>
    <dgm:cxn modelId="{8753D19A-4E74-4053-BD07-A349F819655A}" srcId="{B8421806-6DD4-4280-AB4E-8475FF2BC7B5}" destId="{AD97DA52-4754-4CE4-9ED2-FD3B9F1B8DA5}" srcOrd="1" destOrd="0" parTransId="{F01045F3-717F-4F35-99E1-CE08B97C07F7}" sibTransId="{195D1DF0-A405-45E3-93A8-6DDC7F3263CA}"/>
    <dgm:cxn modelId="{0EB228A0-4687-4C9C-B8F0-11083BE5C0C7}" type="presOf" srcId="{94DB924B-4B31-4622-8E0B-A618246FBC54}" destId="{221DFDEE-AD71-4B36-B382-07D1D7B438BC}" srcOrd="0" destOrd="1" presId="urn:microsoft.com/office/officeart/2005/8/layout/hChevron3"/>
    <dgm:cxn modelId="{4E84FBA3-F7DC-4F1D-A3C8-B1A36B7145A5}" type="presOf" srcId="{C38EDBD1-7674-4D3E-9D4B-FF1B3CDC87A0}" destId="{A0E5C641-531F-47C4-8604-720EC38690FD}" srcOrd="0" destOrd="1" presId="urn:microsoft.com/office/officeart/2005/8/layout/hChevron3"/>
    <dgm:cxn modelId="{948775C5-7E58-4DBC-8768-6986AA55096E}" type="presOf" srcId="{256630C1-81A7-4FD0-B2E5-A0B5678A4405}" destId="{D01D49DE-684A-48AE-B439-6B7B11988782}" srcOrd="0" destOrd="1" presId="urn:microsoft.com/office/officeart/2005/8/layout/hChevron3"/>
    <dgm:cxn modelId="{8F09C9D0-D50C-477E-94AF-0B649E304562}" srcId="{B8421806-6DD4-4280-AB4E-8475FF2BC7B5}" destId="{762D1DA6-49EA-4CDB-962A-304A5AEB4579}" srcOrd="0" destOrd="0" parTransId="{5DAF41C1-177B-4E7A-B56F-FEFA1FDD04C2}" sibTransId="{54F37F2C-0DCD-4F01-AB31-D41F37556CD9}"/>
    <dgm:cxn modelId="{491CCBD7-2BAF-47F6-A98D-91BBC657D732}" type="presOf" srcId="{762D1DA6-49EA-4CDB-962A-304A5AEB4579}" destId="{71B41537-7BC0-4A04-BEB0-E3D06D873071}" srcOrd="0" destOrd="0" presId="urn:microsoft.com/office/officeart/2005/8/layout/hChevron3"/>
    <dgm:cxn modelId="{D361FAE1-B03B-4E26-AF43-0BA9C9359A16}" type="presOf" srcId="{CFB8BFEE-67F4-4D47-8069-50F948D04028}" destId="{221DFDEE-AD71-4B36-B382-07D1D7B438BC}" srcOrd="0" destOrd="0" presId="urn:microsoft.com/office/officeart/2005/8/layout/hChevron3"/>
    <dgm:cxn modelId="{342AFAE5-B19C-4738-840A-7D45E5D7D19A}" type="presOf" srcId="{3B676FC9-0CE1-4B92-92BB-317328D8444C}" destId="{BBFD4B6D-84F5-4ADF-B5CE-8754B177FD2A}" srcOrd="0" destOrd="2" presId="urn:microsoft.com/office/officeart/2005/8/layout/hChevron3"/>
    <dgm:cxn modelId="{B893CDE9-0202-4C5F-AD8B-E4713642D0F7}" srcId="{B8421806-6DD4-4280-AB4E-8475FF2BC7B5}" destId="{B81D8811-5D2D-4CEF-AB0C-3E4C88A02ED2}" srcOrd="3" destOrd="0" parTransId="{74972EDE-2384-405E-AC3C-22FD3E27137E}" sibTransId="{75941F92-8299-4841-BB39-CF0C2E38032D}"/>
    <dgm:cxn modelId="{D910AAF5-6DBB-4AF0-94D5-CA9E601C3C6E}" srcId="{B81D8811-5D2D-4CEF-AB0C-3E4C88A02ED2}" destId="{1EE6A204-B6D5-490B-9BF2-91125F02F507}" srcOrd="0" destOrd="0" parTransId="{79CCCD12-2DAF-4D44-8EF5-B8006D2F5726}" sibTransId="{884EFF13-3F03-48EB-92BD-A1F9638A0D2E}"/>
    <dgm:cxn modelId="{4327E9F7-A979-4114-80BB-98EA2266AFF8}" type="presOf" srcId="{B8421806-6DD4-4280-AB4E-8475FF2BC7B5}" destId="{55A7A882-5A70-4444-B867-99FD1A53EB62}" srcOrd="0" destOrd="0" presId="urn:microsoft.com/office/officeart/2005/8/layout/hChevron3"/>
    <dgm:cxn modelId="{B8AA59D2-B1A7-4E47-9A77-9831A062D324}" type="presParOf" srcId="{55A7A882-5A70-4444-B867-99FD1A53EB62}" destId="{71B41537-7BC0-4A04-BEB0-E3D06D873071}" srcOrd="0" destOrd="0" presId="urn:microsoft.com/office/officeart/2005/8/layout/hChevron3"/>
    <dgm:cxn modelId="{85DAC7EC-E57C-4B82-9384-6FA79B531899}" type="presParOf" srcId="{55A7A882-5A70-4444-B867-99FD1A53EB62}" destId="{4415FD86-A9B4-491F-BA5E-C3D5F93B6F9C}" srcOrd="1" destOrd="0" presId="urn:microsoft.com/office/officeart/2005/8/layout/hChevron3"/>
    <dgm:cxn modelId="{6C2393FF-32D4-4372-988D-F8BD8173D594}" type="presParOf" srcId="{55A7A882-5A70-4444-B867-99FD1A53EB62}" destId="{BBFD4B6D-84F5-4ADF-B5CE-8754B177FD2A}" srcOrd="2" destOrd="0" presId="urn:microsoft.com/office/officeart/2005/8/layout/hChevron3"/>
    <dgm:cxn modelId="{BD29C0F8-DC76-4390-837E-8BC2FED93EDE}" type="presParOf" srcId="{55A7A882-5A70-4444-B867-99FD1A53EB62}" destId="{6D0A797D-7721-4034-9CB0-C4B08E96DE5C}" srcOrd="3" destOrd="0" presId="urn:microsoft.com/office/officeart/2005/8/layout/hChevron3"/>
    <dgm:cxn modelId="{D7A9FCB1-901F-4560-A954-5A073E031ECB}" type="presParOf" srcId="{55A7A882-5A70-4444-B867-99FD1A53EB62}" destId="{D01D49DE-684A-48AE-B439-6B7B11988782}" srcOrd="4" destOrd="0" presId="urn:microsoft.com/office/officeart/2005/8/layout/hChevron3"/>
    <dgm:cxn modelId="{CF3A8F79-C7C7-4099-81A2-C1A9078AE986}" type="presParOf" srcId="{55A7A882-5A70-4444-B867-99FD1A53EB62}" destId="{6253A275-A812-45AC-AB18-5AC647594515}" srcOrd="5" destOrd="0" presId="urn:microsoft.com/office/officeart/2005/8/layout/hChevron3"/>
    <dgm:cxn modelId="{DD91857F-EEC4-4890-9A38-B940E61398F1}" type="presParOf" srcId="{55A7A882-5A70-4444-B867-99FD1A53EB62}" destId="{FB9E678D-517B-4064-8BE6-491B9CADBBA1}" srcOrd="6" destOrd="0" presId="urn:microsoft.com/office/officeart/2005/8/layout/hChevron3"/>
    <dgm:cxn modelId="{D4271A82-A4E8-4496-9271-8ACE127461C1}" type="presParOf" srcId="{55A7A882-5A70-4444-B867-99FD1A53EB62}" destId="{F8987408-0B75-4214-8523-04BD9C2F983C}" srcOrd="7" destOrd="0" presId="urn:microsoft.com/office/officeart/2005/8/layout/hChevron3"/>
    <dgm:cxn modelId="{AF67431D-D0BF-464A-A6E1-0AEE92B35A25}" type="presParOf" srcId="{55A7A882-5A70-4444-B867-99FD1A53EB62}" destId="{A0E5C641-531F-47C4-8604-720EC38690FD}" srcOrd="8" destOrd="0" presId="urn:microsoft.com/office/officeart/2005/8/layout/hChevron3"/>
    <dgm:cxn modelId="{1B249680-001A-45F5-A131-03914B220441}" type="presParOf" srcId="{55A7A882-5A70-4444-B867-99FD1A53EB62}" destId="{53155E33-45D1-4C65-B374-1AFD4A336EFC}" srcOrd="9" destOrd="0" presId="urn:microsoft.com/office/officeart/2005/8/layout/hChevron3"/>
    <dgm:cxn modelId="{ACBAADDE-1627-47F4-8BD2-450D47FC60B7}" type="presParOf" srcId="{55A7A882-5A70-4444-B867-99FD1A53EB62}" destId="{221DFDEE-AD71-4B36-B382-07D1D7B438BC}" srcOrd="10" destOrd="0" presId="urn:microsoft.com/office/officeart/2005/8/layout/hChevron3"/>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B8421806-6DD4-4280-AB4E-8475FF2BC7B5}" type="doc">
      <dgm:prSet loTypeId="urn:microsoft.com/office/officeart/2005/8/layout/hChevron3" loCatId="process" qsTypeId="urn:microsoft.com/office/officeart/2005/8/quickstyle/simple1" qsCatId="simple" csTypeId="urn:microsoft.com/office/officeart/2005/8/colors/accent2_2" csCatId="accent2" phldr="1"/>
      <dgm:spPr/>
      <dgm:t>
        <a:bodyPr/>
        <a:lstStyle/>
        <a:p>
          <a:endParaRPr lang="en-US"/>
        </a:p>
      </dgm:t>
    </dgm:pt>
    <dgm:pt modelId="{762D1DA6-49EA-4CDB-962A-304A5AEB4579}">
      <dgm:prSet phldrT="[Text]" custT="1"/>
      <dgm:spPr/>
      <dgm:t>
        <a:bodyPr/>
        <a:lstStyle/>
        <a:p>
          <a:r>
            <a:rPr lang="en-US" sz="900" b="1"/>
            <a:t>Step 1 </a:t>
          </a:r>
        </a:p>
      </dgm:t>
    </dgm:pt>
    <dgm:pt modelId="{5DAF41C1-177B-4E7A-B56F-FEFA1FDD04C2}" type="parTrans" cxnId="{8F09C9D0-D50C-477E-94AF-0B649E304562}">
      <dgm:prSet/>
      <dgm:spPr/>
      <dgm:t>
        <a:bodyPr/>
        <a:lstStyle/>
        <a:p>
          <a:endParaRPr lang="en-US" sz="1800" b="1"/>
        </a:p>
      </dgm:t>
    </dgm:pt>
    <dgm:pt modelId="{54F37F2C-0DCD-4F01-AB31-D41F37556CD9}" type="sibTrans" cxnId="{8F09C9D0-D50C-477E-94AF-0B649E304562}">
      <dgm:prSet/>
      <dgm:spPr/>
      <dgm:t>
        <a:bodyPr/>
        <a:lstStyle/>
        <a:p>
          <a:endParaRPr lang="en-US" sz="1800" b="1"/>
        </a:p>
      </dgm:t>
    </dgm:pt>
    <dgm:pt modelId="{AD97DA52-4754-4CE4-9ED2-FD3B9F1B8DA5}">
      <dgm:prSet phldrT="[Text]" custT="1"/>
      <dgm:spPr>
        <a:solidFill>
          <a:schemeClr val="accent2">
            <a:lumMod val="50000"/>
          </a:schemeClr>
        </a:solidFill>
      </dgm:spPr>
      <dgm:t>
        <a:bodyPr/>
        <a:lstStyle/>
        <a:p>
          <a:r>
            <a:rPr lang="en-US" sz="900" b="1"/>
            <a:t>Step 2</a:t>
          </a:r>
        </a:p>
      </dgm:t>
    </dgm:pt>
    <dgm:pt modelId="{F01045F3-717F-4F35-99E1-CE08B97C07F7}" type="parTrans" cxnId="{8753D19A-4E74-4053-BD07-A349F819655A}">
      <dgm:prSet/>
      <dgm:spPr/>
      <dgm:t>
        <a:bodyPr/>
        <a:lstStyle/>
        <a:p>
          <a:endParaRPr lang="en-US" sz="1800" b="1"/>
        </a:p>
      </dgm:t>
    </dgm:pt>
    <dgm:pt modelId="{195D1DF0-A405-45E3-93A8-6DDC7F3263CA}" type="sibTrans" cxnId="{8753D19A-4E74-4053-BD07-A349F819655A}">
      <dgm:prSet/>
      <dgm:spPr/>
      <dgm:t>
        <a:bodyPr/>
        <a:lstStyle/>
        <a:p>
          <a:endParaRPr lang="en-US" sz="1800" b="1"/>
        </a:p>
      </dgm:t>
    </dgm:pt>
    <dgm:pt modelId="{E2323A39-F59C-4AEE-A593-42D0A88D2023}">
      <dgm:prSet phldrT="[Text]" custT="1"/>
      <dgm:spPr/>
      <dgm:t>
        <a:bodyPr/>
        <a:lstStyle/>
        <a:p>
          <a:r>
            <a:rPr lang="en-US" sz="900" b="1"/>
            <a:t>Step 3</a:t>
          </a:r>
        </a:p>
      </dgm:t>
    </dgm:pt>
    <dgm:pt modelId="{C9C81BEA-8D2F-4046-9AF9-9173E3836ABB}" type="parTrans" cxnId="{0A855972-E999-4C55-A89B-FBD7D58D3D3F}">
      <dgm:prSet/>
      <dgm:spPr/>
      <dgm:t>
        <a:bodyPr/>
        <a:lstStyle/>
        <a:p>
          <a:endParaRPr lang="en-US" sz="1800" b="1"/>
        </a:p>
      </dgm:t>
    </dgm:pt>
    <dgm:pt modelId="{C0A00DEF-D161-4176-9D50-11D4B0EF2241}" type="sibTrans" cxnId="{0A855972-E999-4C55-A89B-FBD7D58D3D3F}">
      <dgm:prSet/>
      <dgm:spPr/>
      <dgm:t>
        <a:bodyPr/>
        <a:lstStyle/>
        <a:p>
          <a:endParaRPr lang="en-US" sz="1800" b="1"/>
        </a:p>
      </dgm:t>
    </dgm:pt>
    <dgm:pt modelId="{B81D8811-5D2D-4CEF-AB0C-3E4C88A02ED2}">
      <dgm:prSet phldrT="[Text]" custT="1"/>
      <dgm:spPr/>
      <dgm:t>
        <a:bodyPr/>
        <a:lstStyle/>
        <a:p>
          <a:r>
            <a:rPr lang="en-US" sz="900" b="1"/>
            <a:t>Step 4</a:t>
          </a:r>
        </a:p>
      </dgm:t>
    </dgm:pt>
    <dgm:pt modelId="{74972EDE-2384-405E-AC3C-22FD3E27137E}" type="parTrans" cxnId="{B893CDE9-0202-4C5F-AD8B-E4713642D0F7}">
      <dgm:prSet/>
      <dgm:spPr/>
      <dgm:t>
        <a:bodyPr/>
        <a:lstStyle/>
        <a:p>
          <a:endParaRPr lang="en-US" sz="1800" b="1"/>
        </a:p>
      </dgm:t>
    </dgm:pt>
    <dgm:pt modelId="{75941F92-8299-4841-BB39-CF0C2E38032D}" type="sibTrans" cxnId="{B893CDE9-0202-4C5F-AD8B-E4713642D0F7}">
      <dgm:prSet/>
      <dgm:spPr/>
      <dgm:t>
        <a:bodyPr/>
        <a:lstStyle/>
        <a:p>
          <a:endParaRPr lang="en-US" sz="1800" b="1"/>
        </a:p>
      </dgm:t>
    </dgm:pt>
    <dgm:pt modelId="{85B9B320-1EE9-4BE0-B8CC-2B1C974A62D6}">
      <dgm:prSet phldrT="[Text]" custT="1"/>
      <dgm:spPr/>
      <dgm:t>
        <a:bodyPr/>
        <a:lstStyle/>
        <a:p>
          <a:r>
            <a:rPr lang="en-US" sz="900" b="1"/>
            <a:t>Step 5</a:t>
          </a:r>
        </a:p>
      </dgm:t>
    </dgm:pt>
    <dgm:pt modelId="{38B7F6C2-EA6B-4FEA-A344-CA8EA010F3D1}" type="parTrans" cxnId="{618E6366-7F0E-4042-8BEF-054732F49D0C}">
      <dgm:prSet/>
      <dgm:spPr/>
      <dgm:t>
        <a:bodyPr/>
        <a:lstStyle/>
        <a:p>
          <a:endParaRPr lang="en-US" sz="1800" b="1"/>
        </a:p>
      </dgm:t>
    </dgm:pt>
    <dgm:pt modelId="{D410CFBF-2C49-40C7-8A39-9F1A1453792C}" type="sibTrans" cxnId="{618E6366-7F0E-4042-8BEF-054732F49D0C}">
      <dgm:prSet/>
      <dgm:spPr/>
      <dgm:t>
        <a:bodyPr/>
        <a:lstStyle/>
        <a:p>
          <a:endParaRPr lang="en-US" sz="1800" b="1"/>
        </a:p>
      </dgm:t>
    </dgm:pt>
    <dgm:pt modelId="{CFB8BFEE-67F4-4D47-8069-50F948D04028}">
      <dgm:prSet phldrT="[Text]" custT="1"/>
      <dgm:spPr/>
      <dgm:t>
        <a:bodyPr/>
        <a:lstStyle/>
        <a:p>
          <a:r>
            <a:rPr lang="en-US" sz="900" b="1"/>
            <a:t>Step 6</a:t>
          </a:r>
        </a:p>
      </dgm:t>
    </dgm:pt>
    <dgm:pt modelId="{955D0B11-27AE-494B-8A33-7C619F043FD6}" type="parTrans" cxnId="{94C4D290-5DD0-4BE5-88D9-E487CFAFCA45}">
      <dgm:prSet/>
      <dgm:spPr/>
      <dgm:t>
        <a:bodyPr/>
        <a:lstStyle/>
        <a:p>
          <a:endParaRPr lang="en-US" sz="1800" b="1"/>
        </a:p>
      </dgm:t>
    </dgm:pt>
    <dgm:pt modelId="{A60641BC-8904-41A4-BFF6-A9C3C44A5028}" type="sibTrans" cxnId="{94C4D290-5DD0-4BE5-88D9-E487CFAFCA45}">
      <dgm:prSet/>
      <dgm:spPr/>
      <dgm:t>
        <a:bodyPr/>
        <a:lstStyle/>
        <a:p>
          <a:endParaRPr lang="en-US" sz="1800" b="1"/>
        </a:p>
      </dgm:t>
    </dgm:pt>
    <dgm:pt modelId="{657926D8-9ED6-4620-8D1F-B6AD07FE8209}">
      <dgm:prSet phldrT="[Text]" custT="1"/>
      <dgm:spPr/>
      <dgm:t>
        <a:bodyPr/>
        <a:lstStyle/>
        <a:p>
          <a:r>
            <a:rPr lang="en-US" sz="700" b="1"/>
            <a:t>Assessment of Needs</a:t>
          </a:r>
        </a:p>
      </dgm:t>
    </dgm:pt>
    <dgm:pt modelId="{469AB447-BFC2-4580-AAE5-5393399158B6}" type="parTrans" cxnId="{5DF0A151-70A1-4B2F-84AC-A9FC8D741F64}">
      <dgm:prSet/>
      <dgm:spPr/>
      <dgm:t>
        <a:bodyPr/>
        <a:lstStyle/>
        <a:p>
          <a:endParaRPr lang="en-US" sz="1800" b="1"/>
        </a:p>
      </dgm:t>
    </dgm:pt>
    <dgm:pt modelId="{F60D5874-D2C7-46BA-9859-4BA718E792D4}" type="sibTrans" cxnId="{5DF0A151-70A1-4B2F-84AC-A9FC8D741F64}">
      <dgm:prSet/>
      <dgm:spPr/>
      <dgm:t>
        <a:bodyPr/>
        <a:lstStyle/>
        <a:p>
          <a:endParaRPr lang="en-US" sz="1800" b="1"/>
        </a:p>
      </dgm:t>
    </dgm:pt>
    <dgm:pt modelId="{A7A85185-0EB0-49C1-93E0-E65A2DD2A572}">
      <dgm:prSet phldrT="[Text]" custT="1"/>
      <dgm:spPr>
        <a:solidFill>
          <a:schemeClr val="accent2">
            <a:lumMod val="50000"/>
          </a:schemeClr>
        </a:solidFill>
      </dgm:spPr>
      <dgm:t>
        <a:bodyPr/>
        <a:lstStyle/>
        <a:p>
          <a:r>
            <a:rPr lang="en-US" sz="700" b="1"/>
            <a:t>Concept Development and Feasibility</a:t>
          </a:r>
        </a:p>
      </dgm:t>
    </dgm:pt>
    <dgm:pt modelId="{F182B4E2-AC40-4679-91E5-C00FD96021C7}" type="parTrans" cxnId="{91B21185-365C-4004-8D1B-52553C1DC45D}">
      <dgm:prSet/>
      <dgm:spPr/>
      <dgm:t>
        <a:bodyPr/>
        <a:lstStyle/>
        <a:p>
          <a:endParaRPr lang="en-US" sz="1800" b="1"/>
        </a:p>
      </dgm:t>
    </dgm:pt>
    <dgm:pt modelId="{3C2458CB-317E-4072-9E46-8615533447BE}" type="sibTrans" cxnId="{91B21185-365C-4004-8D1B-52553C1DC45D}">
      <dgm:prSet/>
      <dgm:spPr/>
      <dgm:t>
        <a:bodyPr/>
        <a:lstStyle/>
        <a:p>
          <a:endParaRPr lang="en-US" sz="1800" b="1"/>
        </a:p>
      </dgm:t>
    </dgm:pt>
    <dgm:pt modelId="{256630C1-81A7-4FD0-B2E5-A0B5678A4405}">
      <dgm:prSet phldrT="[Text]" custT="1"/>
      <dgm:spPr/>
      <dgm:t>
        <a:bodyPr/>
        <a:lstStyle/>
        <a:p>
          <a:r>
            <a:rPr lang="en-US" sz="700" b="1"/>
            <a:t>Detailed System Planning and Design</a:t>
          </a:r>
        </a:p>
      </dgm:t>
    </dgm:pt>
    <dgm:pt modelId="{A7677F52-2058-4476-AAC1-0DF91558C8DD}" type="parTrans" cxnId="{BAFC910F-77D6-4EEE-8027-51DBDCBE7C5B}">
      <dgm:prSet/>
      <dgm:spPr/>
      <dgm:t>
        <a:bodyPr/>
        <a:lstStyle/>
        <a:p>
          <a:endParaRPr lang="en-US" sz="1800" b="1"/>
        </a:p>
      </dgm:t>
    </dgm:pt>
    <dgm:pt modelId="{9D38F940-DDAD-4994-BABA-C5C47973159F}" type="sibTrans" cxnId="{BAFC910F-77D6-4EEE-8027-51DBDCBE7C5B}">
      <dgm:prSet/>
      <dgm:spPr/>
      <dgm:t>
        <a:bodyPr/>
        <a:lstStyle/>
        <a:p>
          <a:endParaRPr lang="en-US" sz="1800" b="1"/>
        </a:p>
      </dgm:t>
    </dgm:pt>
    <dgm:pt modelId="{1EE6A204-B6D5-490B-9BF2-91125F02F507}">
      <dgm:prSet phldrT="[Text]" custT="1"/>
      <dgm:spPr/>
      <dgm:t>
        <a:bodyPr/>
        <a:lstStyle/>
        <a:p>
          <a:r>
            <a:rPr lang="en-US" sz="700" b="1"/>
            <a:t>Procurement</a:t>
          </a:r>
        </a:p>
      </dgm:t>
    </dgm:pt>
    <dgm:pt modelId="{79CCCD12-2DAF-4D44-8EF5-B8006D2F5726}" type="parTrans" cxnId="{D910AAF5-6DBB-4AF0-94D5-CA9E601C3C6E}">
      <dgm:prSet/>
      <dgm:spPr/>
      <dgm:t>
        <a:bodyPr/>
        <a:lstStyle/>
        <a:p>
          <a:endParaRPr lang="en-US" sz="1800" b="1"/>
        </a:p>
      </dgm:t>
    </dgm:pt>
    <dgm:pt modelId="{884EFF13-3F03-48EB-92BD-A1F9638A0D2E}" type="sibTrans" cxnId="{D910AAF5-6DBB-4AF0-94D5-CA9E601C3C6E}">
      <dgm:prSet/>
      <dgm:spPr/>
      <dgm:t>
        <a:bodyPr/>
        <a:lstStyle/>
        <a:p>
          <a:endParaRPr lang="en-US" sz="1800" b="1"/>
        </a:p>
      </dgm:t>
    </dgm:pt>
    <dgm:pt modelId="{C38EDBD1-7674-4D3E-9D4B-FF1B3CDC87A0}">
      <dgm:prSet phldrT="[Text]" custT="1"/>
      <dgm:spPr/>
      <dgm:t>
        <a:bodyPr/>
        <a:lstStyle/>
        <a:p>
          <a:r>
            <a:rPr lang="en-US" sz="700" b="1"/>
            <a:t>System Deployment</a:t>
          </a:r>
        </a:p>
      </dgm:t>
    </dgm:pt>
    <dgm:pt modelId="{5DA471D5-8AEF-4C22-BAF8-365E348E9B24}" type="parTrans" cxnId="{A9BF5C4C-53F3-4588-9FD1-26DBC9150166}">
      <dgm:prSet/>
      <dgm:spPr/>
      <dgm:t>
        <a:bodyPr/>
        <a:lstStyle/>
        <a:p>
          <a:endParaRPr lang="en-US" sz="1800" b="1"/>
        </a:p>
      </dgm:t>
    </dgm:pt>
    <dgm:pt modelId="{B802B22E-5979-448F-991E-11797404A879}" type="sibTrans" cxnId="{A9BF5C4C-53F3-4588-9FD1-26DBC9150166}">
      <dgm:prSet/>
      <dgm:spPr/>
      <dgm:t>
        <a:bodyPr/>
        <a:lstStyle/>
        <a:p>
          <a:endParaRPr lang="en-US" sz="1800" b="1"/>
        </a:p>
      </dgm:t>
    </dgm:pt>
    <dgm:pt modelId="{94DB924B-4B31-4622-8E0B-A618246FBC54}">
      <dgm:prSet phldrT="[Text]" custT="1"/>
      <dgm:spPr/>
      <dgm:t>
        <a:bodyPr/>
        <a:lstStyle/>
        <a:p>
          <a:r>
            <a:rPr lang="en-US" sz="700" b="1"/>
            <a:t>System Operations, Maintenance and Evaluation </a:t>
          </a:r>
        </a:p>
      </dgm:t>
    </dgm:pt>
    <dgm:pt modelId="{B304AAB3-CE83-49EF-BB8C-56659372A380}" type="parTrans" cxnId="{1D215A00-4EB2-491F-88F4-94A72CA42D6B}">
      <dgm:prSet/>
      <dgm:spPr/>
      <dgm:t>
        <a:bodyPr/>
        <a:lstStyle/>
        <a:p>
          <a:endParaRPr lang="en-US" sz="1800" b="1"/>
        </a:p>
      </dgm:t>
    </dgm:pt>
    <dgm:pt modelId="{A6D58C1B-2F4C-43E1-9FD1-76994F8AB36B}" type="sibTrans" cxnId="{1D215A00-4EB2-491F-88F4-94A72CA42D6B}">
      <dgm:prSet/>
      <dgm:spPr/>
      <dgm:t>
        <a:bodyPr/>
        <a:lstStyle/>
        <a:p>
          <a:endParaRPr lang="en-US" sz="1800" b="1"/>
        </a:p>
      </dgm:t>
    </dgm:pt>
    <dgm:pt modelId="{3B676FC9-0CE1-4B92-92BB-317328D8444C}">
      <dgm:prSet phldrT="[Text]" custT="1"/>
      <dgm:spPr>
        <a:solidFill>
          <a:schemeClr val="accent2">
            <a:lumMod val="50000"/>
          </a:schemeClr>
        </a:solidFill>
      </dgm:spPr>
      <dgm:t>
        <a:bodyPr/>
        <a:lstStyle/>
        <a:p>
          <a:r>
            <a:rPr lang="en-US" sz="700" b="1"/>
            <a:t>APPLICATION WIZARD</a:t>
          </a:r>
        </a:p>
      </dgm:t>
    </dgm:pt>
    <dgm:pt modelId="{CC615540-C903-4D8D-9F73-FC436E9ACC60}" type="parTrans" cxnId="{007BE01E-A437-4550-84E7-DEB9B599B3EF}">
      <dgm:prSet/>
      <dgm:spPr/>
      <dgm:t>
        <a:bodyPr/>
        <a:lstStyle/>
        <a:p>
          <a:endParaRPr lang="en-US" sz="1800"/>
        </a:p>
      </dgm:t>
    </dgm:pt>
    <dgm:pt modelId="{D5B19101-787F-48C0-8BD6-5C7CAF34D795}" type="sibTrans" cxnId="{007BE01E-A437-4550-84E7-DEB9B599B3EF}">
      <dgm:prSet/>
      <dgm:spPr/>
      <dgm:t>
        <a:bodyPr/>
        <a:lstStyle/>
        <a:p>
          <a:endParaRPr lang="en-US" sz="1800"/>
        </a:p>
      </dgm:t>
    </dgm:pt>
    <dgm:pt modelId="{55A7A882-5A70-4444-B867-99FD1A53EB62}" type="pres">
      <dgm:prSet presAssocID="{B8421806-6DD4-4280-AB4E-8475FF2BC7B5}" presName="Name0" presStyleCnt="0">
        <dgm:presLayoutVars>
          <dgm:dir/>
          <dgm:resizeHandles val="exact"/>
        </dgm:presLayoutVars>
      </dgm:prSet>
      <dgm:spPr/>
    </dgm:pt>
    <dgm:pt modelId="{71B41537-7BC0-4A04-BEB0-E3D06D873071}" type="pres">
      <dgm:prSet presAssocID="{762D1DA6-49EA-4CDB-962A-304A5AEB4579}" presName="parAndChTx" presStyleLbl="node1" presStyleIdx="0" presStyleCnt="6">
        <dgm:presLayoutVars>
          <dgm:bulletEnabled val="1"/>
        </dgm:presLayoutVars>
      </dgm:prSet>
      <dgm:spPr/>
    </dgm:pt>
    <dgm:pt modelId="{4415FD86-A9B4-491F-BA5E-C3D5F93B6F9C}" type="pres">
      <dgm:prSet presAssocID="{54F37F2C-0DCD-4F01-AB31-D41F37556CD9}" presName="parAndChSpace" presStyleCnt="0"/>
      <dgm:spPr/>
    </dgm:pt>
    <dgm:pt modelId="{BBFD4B6D-84F5-4ADF-B5CE-8754B177FD2A}" type="pres">
      <dgm:prSet presAssocID="{AD97DA52-4754-4CE4-9ED2-FD3B9F1B8DA5}" presName="parAndChTx" presStyleLbl="node1" presStyleIdx="1" presStyleCnt="6">
        <dgm:presLayoutVars>
          <dgm:bulletEnabled val="1"/>
        </dgm:presLayoutVars>
      </dgm:prSet>
      <dgm:spPr/>
    </dgm:pt>
    <dgm:pt modelId="{6D0A797D-7721-4034-9CB0-C4B08E96DE5C}" type="pres">
      <dgm:prSet presAssocID="{195D1DF0-A405-45E3-93A8-6DDC7F3263CA}" presName="parAndChSpace" presStyleCnt="0"/>
      <dgm:spPr/>
    </dgm:pt>
    <dgm:pt modelId="{D01D49DE-684A-48AE-B439-6B7B11988782}" type="pres">
      <dgm:prSet presAssocID="{E2323A39-F59C-4AEE-A593-42D0A88D2023}" presName="parAndChTx" presStyleLbl="node1" presStyleIdx="2" presStyleCnt="6">
        <dgm:presLayoutVars>
          <dgm:bulletEnabled val="1"/>
        </dgm:presLayoutVars>
      </dgm:prSet>
      <dgm:spPr/>
    </dgm:pt>
    <dgm:pt modelId="{6253A275-A812-45AC-AB18-5AC647594515}" type="pres">
      <dgm:prSet presAssocID="{C0A00DEF-D161-4176-9D50-11D4B0EF2241}" presName="parAndChSpace" presStyleCnt="0"/>
      <dgm:spPr/>
    </dgm:pt>
    <dgm:pt modelId="{FB9E678D-517B-4064-8BE6-491B9CADBBA1}" type="pres">
      <dgm:prSet presAssocID="{B81D8811-5D2D-4CEF-AB0C-3E4C88A02ED2}" presName="parAndChTx" presStyleLbl="node1" presStyleIdx="3" presStyleCnt="6">
        <dgm:presLayoutVars>
          <dgm:bulletEnabled val="1"/>
        </dgm:presLayoutVars>
      </dgm:prSet>
      <dgm:spPr/>
    </dgm:pt>
    <dgm:pt modelId="{F8987408-0B75-4214-8523-04BD9C2F983C}" type="pres">
      <dgm:prSet presAssocID="{75941F92-8299-4841-BB39-CF0C2E38032D}" presName="parAndChSpace" presStyleCnt="0"/>
      <dgm:spPr/>
    </dgm:pt>
    <dgm:pt modelId="{A0E5C641-531F-47C4-8604-720EC38690FD}" type="pres">
      <dgm:prSet presAssocID="{85B9B320-1EE9-4BE0-B8CC-2B1C974A62D6}" presName="parAndChTx" presStyleLbl="node1" presStyleIdx="4" presStyleCnt="6">
        <dgm:presLayoutVars>
          <dgm:bulletEnabled val="1"/>
        </dgm:presLayoutVars>
      </dgm:prSet>
      <dgm:spPr/>
    </dgm:pt>
    <dgm:pt modelId="{53155E33-45D1-4C65-B374-1AFD4A336EFC}" type="pres">
      <dgm:prSet presAssocID="{D410CFBF-2C49-40C7-8A39-9F1A1453792C}" presName="parAndChSpace" presStyleCnt="0"/>
      <dgm:spPr/>
    </dgm:pt>
    <dgm:pt modelId="{221DFDEE-AD71-4B36-B382-07D1D7B438BC}" type="pres">
      <dgm:prSet presAssocID="{CFB8BFEE-67F4-4D47-8069-50F948D04028}" presName="parAndChTx" presStyleLbl="node1" presStyleIdx="5" presStyleCnt="6">
        <dgm:presLayoutVars>
          <dgm:bulletEnabled val="1"/>
        </dgm:presLayoutVars>
      </dgm:prSet>
      <dgm:spPr/>
    </dgm:pt>
  </dgm:ptLst>
  <dgm:cxnLst>
    <dgm:cxn modelId="{1D215A00-4EB2-491F-88F4-94A72CA42D6B}" srcId="{CFB8BFEE-67F4-4D47-8069-50F948D04028}" destId="{94DB924B-4B31-4622-8E0B-A618246FBC54}" srcOrd="0" destOrd="0" parTransId="{B304AAB3-CE83-49EF-BB8C-56659372A380}" sibTransId="{A6D58C1B-2F4C-43E1-9FD1-76994F8AB36B}"/>
    <dgm:cxn modelId="{22CB7306-6DBA-4656-AD34-347D008B6517}" type="presOf" srcId="{C38EDBD1-7674-4D3E-9D4B-FF1B3CDC87A0}" destId="{A0E5C641-531F-47C4-8604-720EC38690FD}" srcOrd="0" destOrd="1" presId="urn:microsoft.com/office/officeart/2005/8/layout/hChevron3"/>
    <dgm:cxn modelId="{B017610D-2378-48F5-B5E5-5E105649CAF7}" type="presOf" srcId="{A7A85185-0EB0-49C1-93E0-E65A2DD2A572}" destId="{BBFD4B6D-84F5-4ADF-B5CE-8754B177FD2A}" srcOrd="0" destOrd="1" presId="urn:microsoft.com/office/officeart/2005/8/layout/hChevron3"/>
    <dgm:cxn modelId="{BAFC910F-77D6-4EEE-8027-51DBDCBE7C5B}" srcId="{E2323A39-F59C-4AEE-A593-42D0A88D2023}" destId="{256630C1-81A7-4FD0-B2E5-A0B5678A4405}" srcOrd="0" destOrd="0" parTransId="{A7677F52-2058-4476-AAC1-0DF91558C8DD}" sibTransId="{9D38F940-DDAD-4994-BABA-C5C47973159F}"/>
    <dgm:cxn modelId="{007BE01E-A437-4550-84E7-DEB9B599B3EF}" srcId="{A7A85185-0EB0-49C1-93E0-E65A2DD2A572}" destId="{3B676FC9-0CE1-4B92-92BB-317328D8444C}" srcOrd="0" destOrd="0" parTransId="{CC615540-C903-4D8D-9F73-FC436E9ACC60}" sibTransId="{D5B19101-787F-48C0-8BD6-5C7CAF34D795}"/>
    <dgm:cxn modelId="{FD1A8F24-0D9B-4A1C-B7B0-8C25CB88E48D}" type="presOf" srcId="{B81D8811-5D2D-4CEF-AB0C-3E4C88A02ED2}" destId="{FB9E678D-517B-4064-8BE6-491B9CADBBA1}" srcOrd="0" destOrd="0" presId="urn:microsoft.com/office/officeart/2005/8/layout/hChevron3"/>
    <dgm:cxn modelId="{9BC9A02D-363E-4799-BDCE-EAC1E2C6140E}" type="presOf" srcId="{CFB8BFEE-67F4-4D47-8069-50F948D04028}" destId="{221DFDEE-AD71-4B36-B382-07D1D7B438BC}" srcOrd="0" destOrd="0" presId="urn:microsoft.com/office/officeart/2005/8/layout/hChevron3"/>
    <dgm:cxn modelId="{E69CC940-0993-450E-AD7F-F925E2A0A8C8}" type="presOf" srcId="{85B9B320-1EE9-4BE0-B8CC-2B1C974A62D6}" destId="{A0E5C641-531F-47C4-8604-720EC38690FD}" srcOrd="0" destOrd="0" presId="urn:microsoft.com/office/officeart/2005/8/layout/hChevron3"/>
    <dgm:cxn modelId="{837C7161-D7AE-4208-812F-E08CA08FF71C}" type="presOf" srcId="{E2323A39-F59C-4AEE-A593-42D0A88D2023}" destId="{D01D49DE-684A-48AE-B439-6B7B11988782}" srcOrd="0" destOrd="0" presId="urn:microsoft.com/office/officeart/2005/8/layout/hChevron3"/>
    <dgm:cxn modelId="{68256A65-F65D-49D3-B382-FAF193EF6F66}" type="presOf" srcId="{657926D8-9ED6-4620-8D1F-B6AD07FE8209}" destId="{71B41537-7BC0-4A04-BEB0-E3D06D873071}" srcOrd="0" destOrd="1" presId="urn:microsoft.com/office/officeart/2005/8/layout/hChevron3"/>
    <dgm:cxn modelId="{618E6366-7F0E-4042-8BEF-054732F49D0C}" srcId="{B8421806-6DD4-4280-AB4E-8475FF2BC7B5}" destId="{85B9B320-1EE9-4BE0-B8CC-2B1C974A62D6}" srcOrd="4" destOrd="0" parTransId="{38B7F6C2-EA6B-4FEA-A344-CA8EA010F3D1}" sibTransId="{D410CFBF-2C49-40C7-8A39-9F1A1453792C}"/>
    <dgm:cxn modelId="{A9BF5C4C-53F3-4588-9FD1-26DBC9150166}" srcId="{85B9B320-1EE9-4BE0-B8CC-2B1C974A62D6}" destId="{C38EDBD1-7674-4D3E-9D4B-FF1B3CDC87A0}" srcOrd="0" destOrd="0" parTransId="{5DA471D5-8AEF-4C22-BAF8-365E348E9B24}" sibTransId="{B802B22E-5979-448F-991E-11797404A879}"/>
    <dgm:cxn modelId="{5DF0A151-70A1-4B2F-84AC-A9FC8D741F64}" srcId="{762D1DA6-49EA-4CDB-962A-304A5AEB4579}" destId="{657926D8-9ED6-4620-8D1F-B6AD07FE8209}" srcOrd="0" destOrd="0" parTransId="{469AB447-BFC2-4580-AAE5-5393399158B6}" sibTransId="{F60D5874-D2C7-46BA-9859-4BA718E792D4}"/>
    <dgm:cxn modelId="{0A855972-E999-4C55-A89B-FBD7D58D3D3F}" srcId="{B8421806-6DD4-4280-AB4E-8475FF2BC7B5}" destId="{E2323A39-F59C-4AEE-A593-42D0A88D2023}" srcOrd="2" destOrd="0" parTransId="{C9C81BEA-8D2F-4046-9AF9-9173E3836ABB}" sibTransId="{C0A00DEF-D161-4176-9D50-11D4B0EF2241}"/>
    <dgm:cxn modelId="{F38DD775-20B2-4577-8A22-116D64E78366}" type="presOf" srcId="{256630C1-81A7-4FD0-B2E5-A0B5678A4405}" destId="{D01D49DE-684A-48AE-B439-6B7B11988782}" srcOrd="0" destOrd="1" presId="urn:microsoft.com/office/officeart/2005/8/layout/hChevron3"/>
    <dgm:cxn modelId="{11DB2E83-70EB-4871-B8B3-6245DC41B87F}" type="presOf" srcId="{1EE6A204-B6D5-490B-9BF2-91125F02F507}" destId="{FB9E678D-517B-4064-8BE6-491B9CADBBA1}" srcOrd="0" destOrd="1" presId="urn:microsoft.com/office/officeart/2005/8/layout/hChevron3"/>
    <dgm:cxn modelId="{91B21185-365C-4004-8D1B-52553C1DC45D}" srcId="{AD97DA52-4754-4CE4-9ED2-FD3B9F1B8DA5}" destId="{A7A85185-0EB0-49C1-93E0-E65A2DD2A572}" srcOrd="0" destOrd="0" parTransId="{F182B4E2-AC40-4679-91E5-C00FD96021C7}" sibTransId="{3C2458CB-317E-4072-9E46-8615533447BE}"/>
    <dgm:cxn modelId="{94C4D290-5DD0-4BE5-88D9-E487CFAFCA45}" srcId="{B8421806-6DD4-4280-AB4E-8475FF2BC7B5}" destId="{CFB8BFEE-67F4-4D47-8069-50F948D04028}" srcOrd="5" destOrd="0" parTransId="{955D0B11-27AE-494B-8A33-7C619F043FD6}" sibTransId="{A60641BC-8904-41A4-BFF6-A9C3C44A5028}"/>
    <dgm:cxn modelId="{8753D19A-4E74-4053-BD07-A349F819655A}" srcId="{B8421806-6DD4-4280-AB4E-8475FF2BC7B5}" destId="{AD97DA52-4754-4CE4-9ED2-FD3B9F1B8DA5}" srcOrd="1" destOrd="0" parTransId="{F01045F3-717F-4F35-99E1-CE08B97C07F7}" sibTransId="{195D1DF0-A405-45E3-93A8-6DDC7F3263CA}"/>
    <dgm:cxn modelId="{DB2C389E-8C53-4037-9D64-A6D7655596EC}" type="presOf" srcId="{B8421806-6DD4-4280-AB4E-8475FF2BC7B5}" destId="{55A7A882-5A70-4444-B867-99FD1A53EB62}" srcOrd="0" destOrd="0" presId="urn:microsoft.com/office/officeart/2005/8/layout/hChevron3"/>
    <dgm:cxn modelId="{D80FC8BC-F8C5-484A-A119-E800959414AB}" type="presOf" srcId="{AD97DA52-4754-4CE4-9ED2-FD3B9F1B8DA5}" destId="{BBFD4B6D-84F5-4ADF-B5CE-8754B177FD2A}" srcOrd="0" destOrd="0" presId="urn:microsoft.com/office/officeart/2005/8/layout/hChevron3"/>
    <dgm:cxn modelId="{8F09C9D0-D50C-477E-94AF-0B649E304562}" srcId="{B8421806-6DD4-4280-AB4E-8475FF2BC7B5}" destId="{762D1DA6-49EA-4CDB-962A-304A5AEB4579}" srcOrd="0" destOrd="0" parTransId="{5DAF41C1-177B-4E7A-B56F-FEFA1FDD04C2}" sibTransId="{54F37F2C-0DCD-4F01-AB31-D41F37556CD9}"/>
    <dgm:cxn modelId="{57E66DD7-8008-4E2F-B484-9FF9B35E8471}" type="presOf" srcId="{94DB924B-4B31-4622-8E0B-A618246FBC54}" destId="{221DFDEE-AD71-4B36-B382-07D1D7B438BC}" srcOrd="0" destOrd="1" presId="urn:microsoft.com/office/officeart/2005/8/layout/hChevron3"/>
    <dgm:cxn modelId="{1DF2ADE9-6A42-4AF4-960E-88CA99E61316}" type="presOf" srcId="{3B676FC9-0CE1-4B92-92BB-317328D8444C}" destId="{BBFD4B6D-84F5-4ADF-B5CE-8754B177FD2A}" srcOrd="0" destOrd="2" presId="urn:microsoft.com/office/officeart/2005/8/layout/hChevron3"/>
    <dgm:cxn modelId="{B893CDE9-0202-4C5F-AD8B-E4713642D0F7}" srcId="{B8421806-6DD4-4280-AB4E-8475FF2BC7B5}" destId="{B81D8811-5D2D-4CEF-AB0C-3E4C88A02ED2}" srcOrd="3" destOrd="0" parTransId="{74972EDE-2384-405E-AC3C-22FD3E27137E}" sibTransId="{75941F92-8299-4841-BB39-CF0C2E38032D}"/>
    <dgm:cxn modelId="{78B859F2-069D-4D23-9D9C-58FDB7F2AA99}" type="presOf" srcId="{762D1DA6-49EA-4CDB-962A-304A5AEB4579}" destId="{71B41537-7BC0-4A04-BEB0-E3D06D873071}" srcOrd="0" destOrd="0" presId="urn:microsoft.com/office/officeart/2005/8/layout/hChevron3"/>
    <dgm:cxn modelId="{D910AAF5-6DBB-4AF0-94D5-CA9E601C3C6E}" srcId="{B81D8811-5D2D-4CEF-AB0C-3E4C88A02ED2}" destId="{1EE6A204-B6D5-490B-9BF2-91125F02F507}" srcOrd="0" destOrd="0" parTransId="{79CCCD12-2DAF-4D44-8EF5-B8006D2F5726}" sibTransId="{884EFF13-3F03-48EB-92BD-A1F9638A0D2E}"/>
    <dgm:cxn modelId="{5554C55E-0E1D-4EE8-AE1C-4E93BBBDEB79}" type="presParOf" srcId="{55A7A882-5A70-4444-B867-99FD1A53EB62}" destId="{71B41537-7BC0-4A04-BEB0-E3D06D873071}" srcOrd="0" destOrd="0" presId="urn:microsoft.com/office/officeart/2005/8/layout/hChevron3"/>
    <dgm:cxn modelId="{F87AA620-F1EC-49C6-A3A5-00556BCC1CC0}" type="presParOf" srcId="{55A7A882-5A70-4444-B867-99FD1A53EB62}" destId="{4415FD86-A9B4-491F-BA5E-C3D5F93B6F9C}" srcOrd="1" destOrd="0" presId="urn:microsoft.com/office/officeart/2005/8/layout/hChevron3"/>
    <dgm:cxn modelId="{871AB09C-7147-4ECD-BD66-D1476AA331EF}" type="presParOf" srcId="{55A7A882-5A70-4444-B867-99FD1A53EB62}" destId="{BBFD4B6D-84F5-4ADF-B5CE-8754B177FD2A}" srcOrd="2" destOrd="0" presId="urn:microsoft.com/office/officeart/2005/8/layout/hChevron3"/>
    <dgm:cxn modelId="{4D5D0BA9-88A7-418C-B55B-2A393A780697}" type="presParOf" srcId="{55A7A882-5A70-4444-B867-99FD1A53EB62}" destId="{6D0A797D-7721-4034-9CB0-C4B08E96DE5C}" srcOrd="3" destOrd="0" presId="urn:microsoft.com/office/officeart/2005/8/layout/hChevron3"/>
    <dgm:cxn modelId="{739CFE72-DEDF-44C2-8415-A61E573F29FC}" type="presParOf" srcId="{55A7A882-5A70-4444-B867-99FD1A53EB62}" destId="{D01D49DE-684A-48AE-B439-6B7B11988782}" srcOrd="4" destOrd="0" presId="urn:microsoft.com/office/officeart/2005/8/layout/hChevron3"/>
    <dgm:cxn modelId="{E7A7A095-BD32-4481-8CC0-78D8C7A1FD47}" type="presParOf" srcId="{55A7A882-5A70-4444-B867-99FD1A53EB62}" destId="{6253A275-A812-45AC-AB18-5AC647594515}" srcOrd="5" destOrd="0" presId="urn:microsoft.com/office/officeart/2005/8/layout/hChevron3"/>
    <dgm:cxn modelId="{39F052BE-CA50-43AD-967A-12A8BD157FC5}" type="presParOf" srcId="{55A7A882-5A70-4444-B867-99FD1A53EB62}" destId="{FB9E678D-517B-4064-8BE6-491B9CADBBA1}" srcOrd="6" destOrd="0" presId="urn:microsoft.com/office/officeart/2005/8/layout/hChevron3"/>
    <dgm:cxn modelId="{0882038D-5949-4C36-890D-81B80CCA9563}" type="presParOf" srcId="{55A7A882-5A70-4444-B867-99FD1A53EB62}" destId="{F8987408-0B75-4214-8523-04BD9C2F983C}" srcOrd="7" destOrd="0" presId="urn:microsoft.com/office/officeart/2005/8/layout/hChevron3"/>
    <dgm:cxn modelId="{CCD1DAFE-B191-488E-8DAF-CFBFD1DFBCBD}" type="presParOf" srcId="{55A7A882-5A70-4444-B867-99FD1A53EB62}" destId="{A0E5C641-531F-47C4-8604-720EC38690FD}" srcOrd="8" destOrd="0" presId="urn:microsoft.com/office/officeart/2005/8/layout/hChevron3"/>
    <dgm:cxn modelId="{AE287C3D-EED5-43BC-A3C7-8DD44F72206A}" type="presParOf" srcId="{55A7A882-5A70-4444-B867-99FD1A53EB62}" destId="{53155E33-45D1-4C65-B374-1AFD4A336EFC}" srcOrd="9" destOrd="0" presId="urn:microsoft.com/office/officeart/2005/8/layout/hChevron3"/>
    <dgm:cxn modelId="{817FD2A9-E0AF-4701-B7BC-9B15CAE44B3B}" type="presParOf" srcId="{55A7A882-5A70-4444-B867-99FD1A53EB62}" destId="{221DFDEE-AD71-4B36-B382-07D1D7B438BC}" srcOrd="10" destOrd="0" presId="urn:microsoft.com/office/officeart/2005/8/layout/hChevron3"/>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B8421806-6DD4-4280-AB4E-8475FF2BC7B5}" type="doc">
      <dgm:prSet loTypeId="urn:microsoft.com/office/officeart/2005/8/layout/hChevron3" loCatId="process" qsTypeId="urn:microsoft.com/office/officeart/2005/8/quickstyle/simple1" qsCatId="simple" csTypeId="urn:microsoft.com/office/officeart/2005/8/colors/accent2_2" csCatId="accent2" phldr="1"/>
      <dgm:spPr/>
      <dgm:t>
        <a:bodyPr/>
        <a:lstStyle/>
        <a:p>
          <a:endParaRPr lang="en-US"/>
        </a:p>
      </dgm:t>
    </dgm:pt>
    <dgm:pt modelId="{762D1DA6-49EA-4CDB-962A-304A5AEB4579}">
      <dgm:prSet phldrT="[Text]"/>
      <dgm:spPr>
        <a:solidFill>
          <a:schemeClr val="accent2">
            <a:lumMod val="50000"/>
          </a:schemeClr>
        </a:solidFill>
      </dgm:spPr>
      <dgm:t>
        <a:bodyPr/>
        <a:lstStyle/>
        <a:p>
          <a:r>
            <a:rPr lang="en-US" b="1"/>
            <a:t>Step 1 </a:t>
          </a:r>
        </a:p>
      </dgm:t>
    </dgm:pt>
    <dgm:pt modelId="{5DAF41C1-177B-4E7A-B56F-FEFA1FDD04C2}" type="parTrans" cxnId="{8F09C9D0-D50C-477E-94AF-0B649E304562}">
      <dgm:prSet/>
      <dgm:spPr/>
      <dgm:t>
        <a:bodyPr/>
        <a:lstStyle/>
        <a:p>
          <a:endParaRPr lang="en-US" b="1"/>
        </a:p>
      </dgm:t>
    </dgm:pt>
    <dgm:pt modelId="{54F37F2C-0DCD-4F01-AB31-D41F37556CD9}" type="sibTrans" cxnId="{8F09C9D0-D50C-477E-94AF-0B649E304562}">
      <dgm:prSet/>
      <dgm:spPr/>
      <dgm:t>
        <a:bodyPr/>
        <a:lstStyle/>
        <a:p>
          <a:endParaRPr lang="en-US" b="1"/>
        </a:p>
      </dgm:t>
    </dgm:pt>
    <dgm:pt modelId="{AD97DA52-4754-4CE4-9ED2-FD3B9F1B8DA5}">
      <dgm:prSet phldrT="[Text]"/>
      <dgm:spPr>
        <a:solidFill>
          <a:schemeClr val="accent2"/>
        </a:solidFill>
      </dgm:spPr>
      <dgm:t>
        <a:bodyPr/>
        <a:lstStyle/>
        <a:p>
          <a:r>
            <a:rPr lang="en-US" b="1"/>
            <a:t>Step 2</a:t>
          </a:r>
        </a:p>
      </dgm:t>
    </dgm:pt>
    <dgm:pt modelId="{F01045F3-717F-4F35-99E1-CE08B97C07F7}" type="parTrans" cxnId="{8753D19A-4E74-4053-BD07-A349F819655A}">
      <dgm:prSet/>
      <dgm:spPr/>
      <dgm:t>
        <a:bodyPr/>
        <a:lstStyle/>
        <a:p>
          <a:endParaRPr lang="en-US" b="1"/>
        </a:p>
      </dgm:t>
    </dgm:pt>
    <dgm:pt modelId="{195D1DF0-A405-45E3-93A8-6DDC7F3263CA}" type="sibTrans" cxnId="{8753D19A-4E74-4053-BD07-A349F819655A}">
      <dgm:prSet/>
      <dgm:spPr/>
      <dgm:t>
        <a:bodyPr/>
        <a:lstStyle/>
        <a:p>
          <a:endParaRPr lang="en-US" b="1"/>
        </a:p>
      </dgm:t>
    </dgm:pt>
    <dgm:pt modelId="{E2323A39-F59C-4AEE-A593-42D0A88D2023}">
      <dgm:prSet phldrT="[Text]"/>
      <dgm:spPr/>
      <dgm:t>
        <a:bodyPr/>
        <a:lstStyle/>
        <a:p>
          <a:r>
            <a:rPr lang="en-US" b="1"/>
            <a:t>Step 3</a:t>
          </a:r>
        </a:p>
      </dgm:t>
    </dgm:pt>
    <dgm:pt modelId="{C9C81BEA-8D2F-4046-9AF9-9173E3836ABB}" type="parTrans" cxnId="{0A855972-E999-4C55-A89B-FBD7D58D3D3F}">
      <dgm:prSet/>
      <dgm:spPr/>
      <dgm:t>
        <a:bodyPr/>
        <a:lstStyle/>
        <a:p>
          <a:endParaRPr lang="en-US" b="1"/>
        </a:p>
      </dgm:t>
    </dgm:pt>
    <dgm:pt modelId="{C0A00DEF-D161-4176-9D50-11D4B0EF2241}" type="sibTrans" cxnId="{0A855972-E999-4C55-A89B-FBD7D58D3D3F}">
      <dgm:prSet/>
      <dgm:spPr/>
      <dgm:t>
        <a:bodyPr/>
        <a:lstStyle/>
        <a:p>
          <a:endParaRPr lang="en-US" b="1"/>
        </a:p>
      </dgm:t>
    </dgm:pt>
    <dgm:pt modelId="{B81D8811-5D2D-4CEF-AB0C-3E4C88A02ED2}">
      <dgm:prSet phldrT="[Text]"/>
      <dgm:spPr/>
      <dgm:t>
        <a:bodyPr/>
        <a:lstStyle/>
        <a:p>
          <a:r>
            <a:rPr lang="en-US" b="1"/>
            <a:t>Step 4</a:t>
          </a:r>
        </a:p>
      </dgm:t>
    </dgm:pt>
    <dgm:pt modelId="{74972EDE-2384-405E-AC3C-22FD3E27137E}" type="parTrans" cxnId="{B893CDE9-0202-4C5F-AD8B-E4713642D0F7}">
      <dgm:prSet/>
      <dgm:spPr/>
      <dgm:t>
        <a:bodyPr/>
        <a:lstStyle/>
        <a:p>
          <a:endParaRPr lang="en-US" b="1"/>
        </a:p>
      </dgm:t>
    </dgm:pt>
    <dgm:pt modelId="{75941F92-8299-4841-BB39-CF0C2E38032D}" type="sibTrans" cxnId="{B893CDE9-0202-4C5F-AD8B-E4713642D0F7}">
      <dgm:prSet/>
      <dgm:spPr/>
      <dgm:t>
        <a:bodyPr/>
        <a:lstStyle/>
        <a:p>
          <a:endParaRPr lang="en-US" b="1"/>
        </a:p>
      </dgm:t>
    </dgm:pt>
    <dgm:pt modelId="{85B9B320-1EE9-4BE0-B8CC-2B1C974A62D6}">
      <dgm:prSet phldrT="[Text]"/>
      <dgm:spPr/>
      <dgm:t>
        <a:bodyPr/>
        <a:lstStyle/>
        <a:p>
          <a:r>
            <a:rPr lang="en-US" b="1"/>
            <a:t>Step 5</a:t>
          </a:r>
        </a:p>
      </dgm:t>
    </dgm:pt>
    <dgm:pt modelId="{38B7F6C2-EA6B-4FEA-A344-CA8EA010F3D1}" type="parTrans" cxnId="{618E6366-7F0E-4042-8BEF-054732F49D0C}">
      <dgm:prSet/>
      <dgm:spPr/>
      <dgm:t>
        <a:bodyPr/>
        <a:lstStyle/>
        <a:p>
          <a:endParaRPr lang="en-US" b="1"/>
        </a:p>
      </dgm:t>
    </dgm:pt>
    <dgm:pt modelId="{D410CFBF-2C49-40C7-8A39-9F1A1453792C}" type="sibTrans" cxnId="{618E6366-7F0E-4042-8BEF-054732F49D0C}">
      <dgm:prSet/>
      <dgm:spPr/>
      <dgm:t>
        <a:bodyPr/>
        <a:lstStyle/>
        <a:p>
          <a:endParaRPr lang="en-US" b="1"/>
        </a:p>
      </dgm:t>
    </dgm:pt>
    <dgm:pt modelId="{CFB8BFEE-67F4-4D47-8069-50F948D04028}">
      <dgm:prSet phldrT="[Text]"/>
      <dgm:spPr/>
      <dgm:t>
        <a:bodyPr/>
        <a:lstStyle/>
        <a:p>
          <a:r>
            <a:rPr lang="en-US" b="1"/>
            <a:t>Step 6</a:t>
          </a:r>
        </a:p>
      </dgm:t>
    </dgm:pt>
    <dgm:pt modelId="{955D0B11-27AE-494B-8A33-7C619F043FD6}" type="parTrans" cxnId="{94C4D290-5DD0-4BE5-88D9-E487CFAFCA45}">
      <dgm:prSet/>
      <dgm:spPr/>
      <dgm:t>
        <a:bodyPr/>
        <a:lstStyle/>
        <a:p>
          <a:endParaRPr lang="en-US" b="1"/>
        </a:p>
      </dgm:t>
    </dgm:pt>
    <dgm:pt modelId="{A60641BC-8904-41A4-BFF6-A9C3C44A5028}" type="sibTrans" cxnId="{94C4D290-5DD0-4BE5-88D9-E487CFAFCA45}">
      <dgm:prSet/>
      <dgm:spPr/>
      <dgm:t>
        <a:bodyPr/>
        <a:lstStyle/>
        <a:p>
          <a:endParaRPr lang="en-US" b="1"/>
        </a:p>
      </dgm:t>
    </dgm:pt>
    <dgm:pt modelId="{657926D8-9ED6-4620-8D1F-B6AD07FE8209}">
      <dgm:prSet phldrT="[Text]"/>
      <dgm:spPr>
        <a:solidFill>
          <a:schemeClr val="accent2">
            <a:lumMod val="50000"/>
          </a:schemeClr>
        </a:solidFill>
      </dgm:spPr>
      <dgm:t>
        <a:bodyPr/>
        <a:lstStyle/>
        <a:p>
          <a:r>
            <a:rPr lang="en-US" b="1"/>
            <a:t>Assessment of Needs</a:t>
          </a:r>
        </a:p>
      </dgm:t>
    </dgm:pt>
    <dgm:pt modelId="{469AB447-BFC2-4580-AAE5-5393399158B6}" type="parTrans" cxnId="{5DF0A151-70A1-4B2F-84AC-A9FC8D741F64}">
      <dgm:prSet/>
      <dgm:spPr/>
      <dgm:t>
        <a:bodyPr/>
        <a:lstStyle/>
        <a:p>
          <a:endParaRPr lang="en-US" b="1"/>
        </a:p>
      </dgm:t>
    </dgm:pt>
    <dgm:pt modelId="{F60D5874-D2C7-46BA-9859-4BA718E792D4}" type="sibTrans" cxnId="{5DF0A151-70A1-4B2F-84AC-A9FC8D741F64}">
      <dgm:prSet/>
      <dgm:spPr/>
      <dgm:t>
        <a:bodyPr/>
        <a:lstStyle/>
        <a:p>
          <a:endParaRPr lang="en-US" b="1"/>
        </a:p>
      </dgm:t>
    </dgm:pt>
    <dgm:pt modelId="{A7A85185-0EB0-49C1-93E0-E65A2DD2A572}">
      <dgm:prSet phldrT="[Text]"/>
      <dgm:spPr>
        <a:solidFill>
          <a:schemeClr val="accent2"/>
        </a:solidFill>
      </dgm:spPr>
      <dgm:t>
        <a:bodyPr/>
        <a:lstStyle/>
        <a:p>
          <a:r>
            <a:rPr lang="en-US" b="1"/>
            <a:t>Concept Development and Feasibility</a:t>
          </a:r>
        </a:p>
      </dgm:t>
    </dgm:pt>
    <dgm:pt modelId="{F182B4E2-AC40-4679-91E5-C00FD96021C7}" type="parTrans" cxnId="{91B21185-365C-4004-8D1B-52553C1DC45D}">
      <dgm:prSet/>
      <dgm:spPr/>
      <dgm:t>
        <a:bodyPr/>
        <a:lstStyle/>
        <a:p>
          <a:endParaRPr lang="en-US" b="1"/>
        </a:p>
      </dgm:t>
    </dgm:pt>
    <dgm:pt modelId="{3C2458CB-317E-4072-9E46-8615533447BE}" type="sibTrans" cxnId="{91B21185-365C-4004-8D1B-52553C1DC45D}">
      <dgm:prSet/>
      <dgm:spPr/>
      <dgm:t>
        <a:bodyPr/>
        <a:lstStyle/>
        <a:p>
          <a:endParaRPr lang="en-US" b="1"/>
        </a:p>
      </dgm:t>
    </dgm:pt>
    <dgm:pt modelId="{256630C1-81A7-4FD0-B2E5-A0B5678A4405}">
      <dgm:prSet phldrT="[Text]"/>
      <dgm:spPr/>
      <dgm:t>
        <a:bodyPr/>
        <a:lstStyle/>
        <a:p>
          <a:r>
            <a:rPr lang="en-US" b="1"/>
            <a:t>Detailed System Planning and Design</a:t>
          </a:r>
        </a:p>
      </dgm:t>
    </dgm:pt>
    <dgm:pt modelId="{A7677F52-2058-4476-AAC1-0DF91558C8DD}" type="parTrans" cxnId="{BAFC910F-77D6-4EEE-8027-51DBDCBE7C5B}">
      <dgm:prSet/>
      <dgm:spPr/>
      <dgm:t>
        <a:bodyPr/>
        <a:lstStyle/>
        <a:p>
          <a:endParaRPr lang="en-US" b="1"/>
        </a:p>
      </dgm:t>
    </dgm:pt>
    <dgm:pt modelId="{9D38F940-DDAD-4994-BABA-C5C47973159F}" type="sibTrans" cxnId="{BAFC910F-77D6-4EEE-8027-51DBDCBE7C5B}">
      <dgm:prSet/>
      <dgm:spPr/>
      <dgm:t>
        <a:bodyPr/>
        <a:lstStyle/>
        <a:p>
          <a:endParaRPr lang="en-US" b="1"/>
        </a:p>
      </dgm:t>
    </dgm:pt>
    <dgm:pt modelId="{1EE6A204-B6D5-490B-9BF2-91125F02F507}">
      <dgm:prSet phldrT="[Text]"/>
      <dgm:spPr/>
      <dgm:t>
        <a:bodyPr/>
        <a:lstStyle/>
        <a:p>
          <a:r>
            <a:rPr lang="en-US" b="1"/>
            <a:t>Procurement</a:t>
          </a:r>
        </a:p>
      </dgm:t>
    </dgm:pt>
    <dgm:pt modelId="{79CCCD12-2DAF-4D44-8EF5-B8006D2F5726}" type="parTrans" cxnId="{D910AAF5-6DBB-4AF0-94D5-CA9E601C3C6E}">
      <dgm:prSet/>
      <dgm:spPr/>
      <dgm:t>
        <a:bodyPr/>
        <a:lstStyle/>
        <a:p>
          <a:endParaRPr lang="en-US" b="1"/>
        </a:p>
      </dgm:t>
    </dgm:pt>
    <dgm:pt modelId="{884EFF13-3F03-48EB-92BD-A1F9638A0D2E}" type="sibTrans" cxnId="{D910AAF5-6DBB-4AF0-94D5-CA9E601C3C6E}">
      <dgm:prSet/>
      <dgm:spPr/>
      <dgm:t>
        <a:bodyPr/>
        <a:lstStyle/>
        <a:p>
          <a:endParaRPr lang="en-US" b="1"/>
        </a:p>
      </dgm:t>
    </dgm:pt>
    <dgm:pt modelId="{C38EDBD1-7674-4D3E-9D4B-FF1B3CDC87A0}">
      <dgm:prSet phldrT="[Text]"/>
      <dgm:spPr/>
      <dgm:t>
        <a:bodyPr/>
        <a:lstStyle/>
        <a:p>
          <a:r>
            <a:rPr lang="en-US" b="1"/>
            <a:t>System Deployment</a:t>
          </a:r>
        </a:p>
      </dgm:t>
    </dgm:pt>
    <dgm:pt modelId="{5DA471D5-8AEF-4C22-BAF8-365E348E9B24}" type="parTrans" cxnId="{A9BF5C4C-53F3-4588-9FD1-26DBC9150166}">
      <dgm:prSet/>
      <dgm:spPr/>
      <dgm:t>
        <a:bodyPr/>
        <a:lstStyle/>
        <a:p>
          <a:endParaRPr lang="en-US" b="1"/>
        </a:p>
      </dgm:t>
    </dgm:pt>
    <dgm:pt modelId="{B802B22E-5979-448F-991E-11797404A879}" type="sibTrans" cxnId="{A9BF5C4C-53F3-4588-9FD1-26DBC9150166}">
      <dgm:prSet/>
      <dgm:spPr/>
      <dgm:t>
        <a:bodyPr/>
        <a:lstStyle/>
        <a:p>
          <a:endParaRPr lang="en-US" b="1"/>
        </a:p>
      </dgm:t>
    </dgm:pt>
    <dgm:pt modelId="{94DB924B-4B31-4622-8E0B-A618246FBC54}">
      <dgm:prSet phldrT="[Text]"/>
      <dgm:spPr/>
      <dgm:t>
        <a:bodyPr/>
        <a:lstStyle/>
        <a:p>
          <a:r>
            <a:rPr lang="en-US" b="1"/>
            <a:t>System Operations, Maintenance and Evaluation </a:t>
          </a:r>
        </a:p>
      </dgm:t>
    </dgm:pt>
    <dgm:pt modelId="{B304AAB3-CE83-49EF-BB8C-56659372A380}" type="parTrans" cxnId="{1D215A00-4EB2-491F-88F4-94A72CA42D6B}">
      <dgm:prSet/>
      <dgm:spPr/>
      <dgm:t>
        <a:bodyPr/>
        <a:lstStyle/>
        <a:p>
          <a:endParaRPr lang="en-US" b="1"/>
        </a:p>
      </dgm:t>
    </dgm:pt>
    <dgm:pt modelId="{A6D58C1B-2F4C-43E1-9FD1-76994F8AB36B}" type="sibTrans" cxnId="{1D215A00-4EB2-491F-88F4-94A72CA42D6B}">
      <dgm:prSet/>
      <dgm:spPr/>
      <dgm:t>
        <a:bodyPr/>
        <a:lstStyle/>
        <a:p>
          <a:endParaRPr lang="en-US" b="1"/>
        </a:p>
      </dgm:t>
    </dgm:pt>
    <dgm:pt modelId="{44697794-1A1F-4DE3-A1D0-6AD26A880290}">
      <dgm:prSet phldrT="[Text]"/>
      <dgm:spPr>
        <a:solidFill>
          <a:schemeClr val="accent2">
            <a:lumMod val="50000"/>
          </a:schemeClr>
        </a:solidFill>
      </dgm:spPr>
      <dgm:t>
        <a:bodyPr/>
        <a:lstStyle/>
        <a:p>
          <a:r>
            <a:rPr lang="en-US" b="1"/>
            <a:t>GOAL WIZARD</a:t>
          </a:r>
        </a:p>
      </dgm:t>
    </dgm:pt>
    <dgm:pt modelId="{A85E208D-4AC9-4F2B-BC80-49D29019D88B}" type="parTrans" cxnId="{438806AE-BB8C-4B75-B371-7CCABD07A2BA}">
      <dgm:prSet/>
      <dgm:spPr/>
      <dgm:t>
        <a:bodyPr/>
        <a:lstStyle/>
        <a:p>
          <a:endParaRPr lang="en-US"/>
        </a:p>
      </dgm:t>
    </dgm:pt>
    <dgm:pt modelId="{FA82624B-29EA-443B-8D0D-92CE3CAE9349}" type="sibTrans" cxnId="{438806AE-BB8C-4B75-B371-7CCABD07A2BA}">
      <dgm:prSet/>
      <dgm:spPr/>
      <dgm:t>
        <a:bodyPr/>
        <a:lstStyle/>
        <a:p>
          <a:endParaRPr lang="en-US"/>
        </a:p>
      </dgm:t>
    </dgm:pt>
    <dgm:pt modelId="{55A7A882-5A70-4444-B867-99FD1A53EB62}" type="pres">
      <dgm:prSet presAssocID="{B8421806-6DD4-4280-AB4E-8475FF2BC7B5}" presName="Name0" presStyleCnt="0">
        <dgm:presLayoutVars>
          <dgm:dir/>
          <dgm:resizeHandles val="exact"/>
        </dgm:presLayoutVars>
      </dgm:prSet>
      <dgm:spPr/>
    </dgm:pt>
    <dgm:pt modelId="{71B41537-7BC0-4A04-BEB0-E3D06D873071}" type="pres">
      <dgm:prSet presAssocID="{762D1DA6-49EA-4CDB-962A-304A5AEB4579}" presName="parAndChTx" presStyleLbl="node1" presStyleIdx="0" presStyleCnt="6">
        <dgm:presLayoutVars>
          <dgm:bulletEnabled val="1"/>
        </dgm:presLayoutVars>
      </dgm:prSet>
      <dgm:spPr/>
    </dgm:pt>
    <dgm:pt modelId="{4415FD86-A9B4-491F-BA5E-C3D5F93B6F9C}" type="pres">
      <dgm:prSet presAssocID="{54F37F2C-0DCD-4F01-AB31-D41F37556CD9}" presName="parAndChSpace" presStyleCnt="0"/>
      <dgm:spPr/>
    </dgm:pt>
    <dgm:pt modelId="{BBFD4B6D-84F5-4ADF-B5CE-8754B177FD2A}" type="pres">
      <dgm:prSet presAssocID="{AD97DA52-4754-4CE4-9ED2-FD3B9F1B8DA5}" presName="parAndChTx" presStyleLbl="node1" presStyleIdx="1" presStyleCnt="6">
        <dgm:presLayoutVars>
          <dgm:bulletEnabled val="1"/>
        </dgm:presLayoutVars>
      </dgm:prSet>
      <dgm:spPr/>
    </dgm:pt>
    <dgm:pt modelId="{6D0A797D-7721-4034-9CB0-C4B08E96DE5C}" type="pres">
      <dgm:prSet presAssocID="{195D1DF0-A405-45E3-93A8-6DDC7F3263CA}" presName="parAndChSpace" presStyleCnt="0"/>
      <dgm:spPr/>
    </dgm:pt>
    <dgm:pt modelId="{D01D49DE-684A-48AE-B439-6B7B11988782}" type="pres">
      <dgm:prSet presAssocID="{E2323A39-F59C-4AEE-A593-42D0A88D2023}" presName="parAndChTx" presStyleLbl="node1" presStyleIdx="2" presStyleCnt="6">
        <dgm:presLayoutVars>
          <dgm:bulletEnabled val="1"/>
        </dgm:presLayoutVars>
      </dgm:prSet>
      <dgm:spPr/>
    </dgm:pt>
    <dgm:pt modelId="{6253A275-A812-45AC-AB18-5AC647594515}" type="pres">
      <dgm:prSet presAssocID="{C0A00DEF-D161-4176-9D50-11D4B0EF2241}" presName="parAndChSpace" presStyleCnt="0"/>
      <dgm:spPr/>
    </dgm:pt>
    <dgm:pt modelId="{FB9E678D-517B-4064-8BE6-491B9CADBBA1}" type="pres">
      <dgm:prSet presAssocID="{B81D8811-5D2D-4CEF-AB0C-3E4C88A02ED2}" presName="parAndChTx" presStyleLbl="node1" presStyleIdx="3" presStyleCnt="6">
        <dgm:presLayoutVars>
          <dgm:bulletEnabled val="1"/>
        </dgm:presLayoutVars>
      </dgm:prSet>
      <dgm:spPr/>
    </dgm:pt>
    <dgm:pt modelId="{F8987408-0B75-4214-8523-04BD9C2F983C}" type="pres">
      <dgm:prSet presAssocID="{75941F92-8299-4841-BB39-CF0C2E38032D}" presName="parAndChSpace" presStyleCnt="0"/>
      <dgm:spPr/>
    </dgm:pt>
    <dgm:pt modelId="{A0E5C641-531F-47C4-8604-720EC38690FD}" type="pres">
      <dgm:prSet presAssocID="{85B9B320-1EE9-4BE0-B8CC-2B1C974A62D6}" presName="parAndChTx" presStyleLbl="node1" presStyleIdx="4" presStyleCnt="6">
        <dgm:presLayoutVars>
          <dgm:bulletEnabled val="1"/>
        </dgm:presLayoutVars>
      </dgm:prSet>
      <dgm:spPr/>
    </dgm:pt>
    <dgm:pt modelId="{53155E33-45D1-4C65-B374-1AFD4A336EFC}" type="pres">
      <dgm:prSet presAssocID="{D410CFBF-2C49-40C7-8A39-9F1A1453792C}" presName="parAndChSpace" presStyleCnt="0"/>
      <dgm:spPr/>
    </dgm:pt>
    <dgm:pt modelId="{221DFDEE-AD71-4B36-B382-07D1D7B438BC}" type="pres">
      <dgm:prSet presAssocID="{CFB8BFEE-67F4-4D47-8069-50F948D04028}" presName="parAndChTx" presStyleLbl="node1" presStyleIdx="5" presStyleCnt="6">
        <dgm:presLayoutVars>
          <dgm:bulletEnabled val="1"/>
        </dgm:presLayoutVars>
      </dgm:prSet>
      <dgm:spPr/>
    </dgm:pt>
  </dgm:ptLst>
  <dgm:cxnLst>
    <dgm:cxn modelId="{1D215A00-4EB2-491F-88F4-94A72CA42D6B}" srcId="{CFB8BFEE-67F4-4D47-8069-50F948D04028}" destId="{94DB924B-4B31-4622-8E0B-A618246FBC54}" srcOrd="0" destOrd="0" parTransId="{B304AAB3-CE83-49EF-BB8C-56659372A380}" sibTransId="{A6D58C1B-2F4C-43E1-9FD1-76994F8AB36B}"/>
    <dgm:cxn modelId="{3731C805-8ECC-403A-BC33-6EBF8441A127}" type="presOf" srcId="{94DB924B-4B31-4622-8E0B-A618246FBC54}" destId="{221DFDEE-AD71-4B36-B382-07D1D7B438BC}" srcOrd="0" destOrd="1" presId="urn:microsoft.com/office/officeart/2005/8/layout/hChevron3"/>
    <dgm:cxn modelId="{BAFC910F-77D6-4EEE-8027-51DBDCBE7C5B}" srcId="{E2323A39-F59C-4AEE-A593-42D0A88D2023}" destId="{256630C1-81A7-4FD0-B2E5-A0B5678A4405}" srcOrd="0" destOrd="0" parTransId="{A7677F52-2058-4476-AAC1-0DF91558C8DD}" sibTransId="{9D38F940-DDAD-4994-BABA-C5C47973159F}"/>
    <dgm:cxn modelId="{43E1D60F-72C2-48A0-9E27-553B5CA433AA}" type="presOf" srcId="{256630C1-81A7-4FD0-B2E5-A0B5678A4405}" destId="{D01D49DE-684A-48AE-B439-6B7B11988782}" srcOrd="0" destOrd="1" presId="urn:microsoft.com/office/officeart/2005/8/layout/hChevron3"/>
    <dgm:cxn modelId="{5ECB6711-DFBE-43CA-9E62-585B8D8E082D}" type="presOf" srcId="{B8421806-6DD4-4280-AB4E-8475FF2BC7B5}" destId="{55A7A882-5A70-4444-B867-99FD1A53EB62}" srcOrd="0" destOrd="0" presId="urn:microsoft.com/office/officeart/2005/8/layout/hChevron3"/>
    <dgm:cxn modelId="{E0D0D716-2424-4CC7-81D2-9F368F599D5B}" type="presOf" srcId="{657926D8-9ED6-4620-8D1F-B6AD07FE8209}" destId="{71B41537-7BC0-4A04-BEB0-E3D06D873071}" srcOrd="0" destOrd="1" presId="urn:microsoft.com/office/officeart/2005/8/layout/hChevron3"/>
    <dgm:cxn modelId="{46FD8217-34D3-4B2D-96B0-A1DAE33DAC0A}" type="presOf" srcId="{C38EDBD1-7674-4D3E-9D4B-FF1B3CDC87A0}" destId="{A0E5C641-531F-47C4-8604-720EC38690FD}" srcOrd="0" destOrd="1" presId="urn:microsoft.com/office/officeart/2005/8/layout/hChevron3"/>
    <dgm:cxn modelId="{239EA626-3185-4C79-AFA8-8112B7CEF0A2}" type="presOf" srcId="{CFB8BFEE-67F4-4D47-8069-50F948D04028}" destId="{221DFDEE-AD71-4B36-B382-07D1D7B438BC}" srcOrd="0" destOrd="0" presId="urn:microsoft.com/office/officeart/2005/8/layout/hChevron3"/>
    <dgm:cxn modelId="{E183052B-5156-40C7-B935-D50659069580}" type="presOf" srcId="{44697794-1A1F-4DE3-A1D0-6AD26A880290}" destId="{71B41537-7BC0-4A04-BEB0-E3D06D873071}" srcOrd="0" destOrd="2" presId="urn:microsoft.com/office/officeart/2005/8/layout/hChevron3"/>
    <dgm:cxn modelId="{D649AE30-5FE7-44B7-B8A2-BE7249B8D64F}" type="presOf" srcId="{AD97DA52-4754-4CE4-9ED2-FD3B9F1B8DA5}" destId="{BBFD4B6D-84F5-4ADF-B5CE-8754B177FD2A}" srcOrd="0" destOrd="0" presId="urn:microsoft.com/office/officeart/2005/8/layout/hChevron3"/>
    <dgm:cxn modelId="{095C9A3B-E162-44AD-A8D9-BBA703E13551}" type="presOf" srcId="{E2323A39-F59C-4AEE-A593-42D0A88D2023}" destId="{D01D49DE-684A-48AE-B439-6B7B11988782}" srcOrd="0" destOrd="0" presId="urn:microsoft.com/office/officeart/2005/8/layout/hChevron3"/>
    <dgm:cxn modelId="{7E9A4D3F-C3E3-4E9F-9B0D-BD5F24C52AA6}" type="presOf" srcId="{B81D8811-5D2D-4CEF-AB0C-3E4C88A02ED2}" destId="{FB9E678D-517B-4064-8BE6-491B9CADBBA1}" srcOrd="0" destOrd="0" presId="urn:microsoft.com/office/officeart/2005/8/layout/hChevron3"/>
    <dgm:cxn modelId="{618E6366-7F0E-4042-8BEF-054732F49D0C}" srcId="{B8421806-6DD4-4280-AB4E-8475FF2BC7B5}" destId="{85B9B320-1EE9-4BE0-B8CC-2B1C974A62D6}" srcOrd="4" destOrd="0" parTransId="{38B7F6C2-EA6B-4FEA-A344-CA8EA010F3D1}" sibTransId="{D410CFBF-2C49-40C7-8A39-9F1A1453792C}"/>
    <dgm:cxn modelId="{A9BF5C4C-53F3-4588-9FD1-26DBC9150166}" srcId="{85B9B320-1EE9-4BE0-B8CC-2B1C974A62D6}" destId="{C38EDBD1-7674-4D3E-9D4B-FF1B3CDC87A0}" srcOrd="0" destOrd="0" parTransId="{5DA471D5-8AEF-4C22-BAF8-365E348E9B24}" sibTransId="{B802B22E-5979-448F-991E-11797404A879}"/>
    <dgm:cxn modelId="{63D73E50-3474-40B6-9712-88EEB0FCE7D4}" type="presOf" srcId="{1EE6A204-B6D5-490B-9BF2-91125F02F507}" destId="{FB9E678D-517B-4064-8BE6-491B9CADBBA1}" srcOrd="0" destOrd="1" presId="urn:microsoft.com/office/officeart/2005/8/layout/hChevron3"/>
    <dgm:cxn modelId="{5DF0A151-70A1-4B2F-84AC-A9FC8D741F64}" srcId="{762D1DA6-49EA-4CDB-962A-304A5AEB4579}" destId="{657926D8-9ED6-4620-8D1F-B6AD07FE8209}" srcOrd="0" destOrd="0" parTransId="{469AB447-BFC2-4580-AAE5-5393399158B6}" sibTransId="{F60D5874-D2C7-46BA-9859-4BA718E792D4}"/>
    <dgm:cxn modelId="{0A855972-E999-4C55-A89B-FBD7D58D3D3F}" srcId="{B8421806-6DD4-4280-AB4E-8475FF2BC7B5}" destId="{E2323A39-F59C-4AEE-A593-42D0A88D2023}" srcOrd="2" destOrd="0" parTransId="{C9C81BEA-8D2F-4046-9AF9-9173E3836ABB}" sibTransId="{C0A00DEF-D161-4176-9D50-11D4B0EF2241}"/>
    <dgm:cxn modelId="{91B21185-365C-4004-8D1B-52553C1DC45D}" srcId="{AD97DA52-4754-4CE4-9ED2-FD3B9F1B8DA5}" destId="{A7A85185-0EB0-49C1-93E0-E65A2DD2A572}" srcOrd="0" destOrd="0" parTransId="{F182B4E2-AC40-4679-91E5-C00FD96021C7}" sibTransId="{3C2458CB-317E-4072-9E46-8615533447BE}"/>
    <dgm:cxn modelId="{94C4D290-5DD0-4BE5-88D9-E487CFAFCA45}" srcId="{B8421806-6DD4-4280-AB4E-8475FF2BC7B5}" destId="{CFB8BFEE-67F4-4D47-8069-50F948D04028}" srcOrd="5" destOrd="0" parTransId="{955D0B11-27AE-494B-8A33-7C619F043FD6}" sibTransId="{A60641BC-8904-41A4-BFF6-A9C3C44A5028}"/>
    <dgm:cxn modelId="{C68E7596-F8EF-4007-BD60-0BA91C6D959F}" type="presOf" srcId="{762D1DA6-49EA-4CDB-962A-304A5AEB4579}" destId="{71B41537-7BC0-4A04-BEB0-E3D06D873071}" srcOrd="0" destOrd="0" presId="urn:microsoft.com/office/officeart/2005/8/layout/hChevron3"/>
    <dgm:cxn modelId="{8753D19A-4E74-4053-BD07-A349F819655A}" srcId="{B8421806-6DD4-4280-AB4E-8475FF2BC7B5}" destId="{AD97DA52-4754-4CE4-9ED2-FD3B9F1B8DA5}" srcOrd="1" destOrd="0" parTransId="{F01045F3-717F-4F35-99E1-CE08B97C07F7}" sibTransId="{195D1DF0-A405-45E3-93A8-6DDC7F3263CA}"/>
    <dgm:cxn modelId="{31B66C9B-7416-4D1B-BCCF-9700DB6AFDF9}" type="presOf" srcId="{85B9B320-1EE9-4BE0-B8CC-2B1C974A62D6}" destId="{A0E5C641-531F-47C4-8604-720EC38690FD}" srcOrd="0" destOrd="0" presId="urn:microsoft.com/office/officeart/2005/8/layout/hChevron3"/>
    <dgm:cxn modelId="{010CCDA9-25FB-4FE1-A3D6-BD1E5768A7DB}" type="presOf" srcId="{A7A85185-0EB0-49C1-93E0-E65A2DD2A572}" destId="{BBFD4B6D-84F5-4ADF-B5CE-8754B177FD2A}" srcOrd="0" destOrd="1" presId="urn:microsoft.com/office/officeart/2005/8/layout/hChevron3"/>
    <dgm:cxn modelId="{438806AE-BB8C-4B75-B371-7CCABD07A2BA}" srcId="{657926D8-9ED6-4620-8D1F-B6AD07FE8209}" destId="{44697794-1A1F-4DE3-A1D0-6AD26A880290}" srcOrd="0" destOrd="0" parTransId="{A85E208D-4AC9-4F2B-BC80-49D29019D88B}" sibTransId="{FA82624B-29EA-443B-8D0D-92CE3CAE9349}"/>
    <dgm:cxn modelId="{8F09C9D0-D50C-477E-94AF-0B649E304562}" srcId="{B8421806-6DD4-4280-AB4E-8475FF2BC7B5}" destId="{762D1DA6-49EA-4CDB-962A-304A5AEB4579}" srcOrd="0" destOrd="0" parTransId="{5DAF41C1-177B-4E7A-B56F-FEFA1FDD04C2}" sibTransId="{54F37F2C-0DCD-4F01-AB31-D41F37556CD9}"/>
    <dgm:cxn modelId="{B893CDE9-0202-4C5F-AD8B-E4713642D0F7}" srcId="{B8421806-6DD4-4280-AB4E-8475FF2BC7B5}" destId="{B81D8811-5D2D-4CEF-AB0C-3E4C88A02ED2}" srcOrd="3" destOrd="0" parTransId="{74972EDE-2384-405E-AC3C-22FD3E27137E}" sibTransId="{75941F92-8299-4841-BB39-CF0C2E38032D}"/>
    <dgm:cxn modelId="{D910AAF5-6DBB-4AF0-94D5-CA9E601C3C6E}" srcId="{B81D8811-5D2D-4CEF-AB0C-3E4C88A02ED2}" destId="{1EE6A204-B6D5-490B-9BF2-91125F02F507}" srcOrd="0" destOrd="0" parTransId="{79CCCD12-2DAF-4D44-8EF5-B8006D2F5726}" sibTransId="{884EFF13-3F03-48EB-92BD-A1F9638A0D2E}"/>
    <dgm:cxn modelId="{13DB34D5-EDCB-468A-9D83-9188B1FCB3C8}" type="presParOf" srcId="{55A7A882-5A70-4444-B867-99FD1A53EB62}" destId="{71B41537-7BC0-4A04-BEB0-E3D06D873071}" srcOrd="0" destOrd="0" presId="urn:microsoft.com/office/officeart/2005/8/layout/hChevron3"/>
    <dgm:cxn modelId="{D1ED9602-0FF1-41BA-ABD4-BE4095633C20}" type="presParOf" srcId="{55A7A882-5A70-4444-B867-99FD1A53EB62}" destId="{4415FD86-A9B4-491F-BA5E-C3D5F93B6F9C}" srcOrd="1" destOrd="0" presId="urn:microsoft.com/office/officeart/2005/8/layout/hChevron3"/>
    <dgm:cxn modelId="{8E83FE69-8EA4-4FD4-9552-20AD21DE72D0}" type="presParOf" srcId="{55A7A882-5A70-4444-B867-99FD1A53EB62}" destId="{BBFD4B6D-84F5-4ADF-B5CE-8754B177FD2A}" srcOrd="2" destOrd="0" presId="urn:microsoft.com/office/officeart/2005/8/layout/hChevron3"/>
    <dgm:cxn modelId="{EF14385F-44E8-4CC9-8AE1-00F21C78E351}" type="presParOf" srcId="{55A7A882-5A70-4444-B867-99FD1A53EB62}" destId="{6D0A797D-7721-4034-9CB0-C4B08E96DE5C}" srcOrd="3" destOrd="0" presId="urn:microsoft.com/office/officeart/2005/8/layout/hChevron3"/>
    <dgm:cxn modelId="{9CBC8BF5-949C-446A-AAC7-C2008CBDFDF7}" type="presParOf" srcId="{55A7A882-5A70-4444-B867-99FD1A53EB62}" destId="{D01D49DE-684A-48AE-B439-6B7B11988782}" srcOrd="4" destOrd="0" presId="urn:microsoft.com/office/officeart/2005/8/layout/hChevron3"/>
    <dgm:cxn modelId="{87E6CEC5-375A-4152-80F4-B7AB316F0926}" type="presParOf" srcId="{55A7A882-5A70-4444-B867-99FD1A53EB62}" destId="{6253A275-A812-45AC-AB18-5AC647594515}" srcOrd="5" destOrd="0" presId="urn:microsoft.com/office/officeart/2005/8/layout/hChevron3"/>
    <dgm:cxn modelId="{6D6BBD87-FBA4-4013-9CCB-88793542F355}" type="presParOf" srcId="{55A7A882-5A70-4444-B867-99FD1A53EB62}" destId="{FB9E678D-517B-4064-8BE6-491B9CADBBA1}" srcOrd="6" destOrd="0" presId="urn:microsoft.com/office/officeart/2005/8/layout/hChevron3"/>
    <dgm:cxn modelId="{82E4607F-B7F6-48AB-85E6-E4ABD225295F}" type="presParOf" srcId="{55A7A882-5A70-4444-B867-99FD1A53EB62}" destId="{F8987408-0B75-4214-8523-04BD9C2F983C}" srcOrd="7" destOrd="0" presId="urn:microsoft.com/office/officeart/2005/8/layout/hChevron3"/>
    <dgm:cxn modelId="{C8BB82AF-BE23-4135-8981-12F16ACE8B2C}" type="presParOf" srcId="{55A7A882-5A70-4444-B867-99FD1A53EB62}" destId="{A0E5C641-531F-47C4-8604-720EC38690FD}" srcOrd="8" destOrd="0" presId="urn:microsoft.com/office/officeart/2005/8/layout/hChevron3"/>
    <dgm:cxn modelId="{7456BD46-56F4-4A0F-A86B-4C5598DBC257}" type="presParOf" srcId="{55A7A882-5A70-4444-B867-99FD1A53EB62}" destId="{53155E33-45D1-4C65-B374-1AFD4A336EFC}" srcOrd="9" destOrd="0" presId="urn:microsoft.com/office/officeart/2005/8/layout/hChevron3"/>
    <dgm:cxn modelId="{831F5208-2538-41B9-A539-3211F32635B5}" type="presParOf" srcId="{55A7A882-5A70-4444-B867-99FD1A53EB62}" destId="{221DFDEE-AD71-4B36-B382-07D1D7B438BC}" srcOrd="10" destOrd="0" presId="urn:microsoft.com/office/officeart/2005/8/layout/hChevron3"/>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4.xml><?xml version="1.0" encoding="utf-8"?>
<dgm:dataModel xmlns:dgm="http://schemas.openxmlformats.org/drawingml/2006/diagram" xmlns:a="http://schemas.openxmlformats.org/drawingml/2006/main">
  <dgm:ptLst>
    <dgm:pt modelId="{B8421806-6DD4-4280-AB4E-8475FF2BC7B5}" type="doc">
      <dgm:prSet loTypeId="urn:microsoft.com/office/officeart/2005/8/layout/hChevron3" loCatId="process" qsTypeId="urn:microsoft.com/office/officeart/2005/8/quickstyle/simple1" qsCatId="simple" csTypeId="urn:microsoft.com/office/officeart/2005/8/colors/accent2_2" csCatId="accent2" phldr="1"/>
      <dgm:spPr/>
      <dgm:t>
        <a:bodyPr/>
        <a:lstStyle/>
        <a:p>
          <a:endParaRPr lang="en-US"/>
        </a:p>
      </dgm:t>
    </dgm:pt>
    <dgm:pt modelId="{762D1DA6-49EA-4CDB-962A-304A5AEB4579}">
      <dgm:prSet phldrT="[Text]"/>
      <dgm:spPr>
        <a:solidFill>
          <a:schemeClr val="accent2">
            <a:lumMod val="50000"/>
          </a:schemeClr>
        </a:solidFill>
      </dgm:spPr>
      <dgm:t>
        <a:bodyPr/>
        <a:lstStyle/>
        <a:p>
          <a:r>
            <a:rPr lang="en-US" b="1"/>
            <a:t>Step 1 </a:t>
          </a:r>
        </a:p>
      </dgm:t>
    </dgm:pt>
    <dgm:pt modelId="{5DAF41C1-177B-4E7A-B56F-FEFA1FDD04C2}" type="parTrans" cxnId="{8F09C9D0-D50C-477E-94AF-0B649E304562}">
      <dgm:prSet/>
      <dgm:spPr/>
      <dgm:t>
        <a:bodyPr/>
        <a:lstStyle/>
        <a:p>
          <a:endParaRPr lang="en-US" b="1"/>
        </a:p>
      </dgm:t>
    </dgm:pt>
    <dgm:pt modelId="{54F37F2C-0DCD-4F01-AB31-D41F37556CD9}" type="sibTrans" cxnId="{8F09C9D0-D50C-477E-94AF-0B649E304562}">
      <dgm:prSet/>
      <dgm:spPr/>
      <dgm:t>
        <a:bodyPr/>
        <a:lstStyle/>
        <a:p>
          <a:endParaRPr lang="en-US" b="1"/>
        </a:p>
      </dgm:t>
    </dgm:pt>
    <dgm:pt modelId="{AD97DA52-4754-4CE4-9ED2-FD3B9F1B8DA5}">
      <dgm:prSet phldrT="[Text]"/>
      <dgm:spPr>
        <a:solidFill>
          <a:schemeClr val="accent2"/>
        </a:solidFill>
      </dgm:spPr>
      <dgm:t>
        <a:bodyPr/>
        <a:lstStyle/>
        <a:p>
          <a:r>
            <a:rPr lang="en-US" b="1"/>
            <a:t>Step 2</a:t>
          </a:r>
        </a:p>
      </dgm:t>
    </dgm:pt>
    <dgm:pt modelId="{F01045F3-717F-4F35-99E1-CE08B97C07F7}" type="parTrans" cxnId="{8753D19A-4E74-4053-BD07-A349F819655A}">
      <dgm:prSet/>
      <dgm:spPr/>
      <dgm:t>
        <a:bodyPr/>
        <a:lstStyle/>
        <a:p>
          <a:endParaRPr lang="en-US" b="1"/>
        </a:p>
      </dgm:t>
    </dgm:pt>
    <dgm:pt modelId="{195D1DF0-A405-45E3-93A8-6DDC7F3263CA}" type="sibTrans" cxnId="{8753D19A-4E74-4053-BD07-A349F819655A}">
      <dgm:prSet/>
      <dgm:spPr/>
      <dgm:t>
        <a:bodyPr/>
        <a:lstStyle/>
        <a:p>
          <a:endParaRPr lang="en-US" b="1"/>
        </a:p>
      </dgm:t>
    </dgm:pt>
    <dgm:pt modelId="{E2323A39-F59C-4AEE-A593-42D0A88D2023}">
      <dgm:prSet phldrT="[Text]"/>
      <dgm:spPr/>
      <dgm:t>
        <a:bodyPr/>
        <a:lstStyle/>
        <a:p>
          <a:r>
            <a:rPr lang="en-US" b="1"/>
            <a:t>Step 3</a:t>
          </a:r>
        </a:p>
      </dgm:t>
    </dgm:pt>
    <dgm:pt modelId="{C9C81BEA-8D2F-4046-9AF9-9173E3836ABB}" type="parTrans" cxnId="{0A855972-E999-4C55-A89B-FBD7D58D3D3F}">
      <dgm:prSet/>
      <dgm:spPr/>
      <dgm:t>
        <a:bodyPr/>
        <a:lstStyle/>
        <a:p>
          <a:endParaRPr lang="en-US" b="1"/>
        </a:p>
      </dgm:t>
    </dgm:pt>
    <dgm:pt modelId="{C0A00DEF-D161-4176-9D50-11D4B0EF2241}" type="sibTrans" cxnId="{0A855972-E999-4C55-A89B-FBD7D58D3D3F}">
      <dgm:prSet/>
      <dgm:spPr/>
      <dgm:t>
        <a:bodyPr/>
        <a:lstStyle/>
        <a:p>
          <a:endParaRPr lang="en-US" b="1"/>
        </a:p>
      </dgm:t>
    </dgm:pt>
    <dgm:pt modelId="{B81D8811-5D2D-4CEF-AB0C-3E4C88A02ED2}">
      <dgm:prSet phldrT="[Text]"/>
      <dgm:spPr/>
      <dgm:t>
        <a:bodyPr/>
        <a:lstStyle/>
        <a:p>
          <a:r>
            <a:rPr lang="en-US" b="1"/>
            <a:t>Step 4</a:t>
          </a:r>
        </a:p>
      </dgm:t>
    </dgm:pt>
    <dgm:pt modelId="{74972EDE-2384-405E-AC3C-22FD3E27137E}" type="parTrans" cxnId="{B893CDE9-0202-4C5F-AD8B-E4713642D0F7}">
      <dgm:prSet/>
      <dgm:spPr/>
      <dgm:t>
        <a:bodyPr/>
        <a:lstStyle/>
        <a:p>
          <a:endParaRPr lang="en-US" b="1"/>
        </a:p>
      </dgm:t>
    </dgm:pt>
    <dgm:pt modelId="{75941F92-8299-4841-BB39-CF0C2E38032D}" type="sibTrans" cxnId="{B893CDE9-0202-4C5F-AD8B-E4713642D0F7}">
      <dgm:prSet/>
      <dgm:spPr/>
      <dgm:t>
        <a:bodyPr/>
        <a:lstStyle/>
        <a:p>
          <a:endParaRPr lang="en-US" b="1"/>
        </a:p>
      </dgm:t>
    </dgm:pt>
    <dgm:pt modelId="{85B9B320-1EE9-4BE0-B8CC-2B1C974A62D6}">
      <dgm:prSet phldrT="[Text]"/>
      <dgm:spPr/>
      <dgm:t>
        <a:bodyPr/>
        <a:lstStyle/>
        <a:p>
          <a:r>
            <a:rPr lang="en-US" b="1"/>
            <a:t>Step 5</a:t>
          </a:r>
        </a:p>
      </dgm:t>
    </dgm:pt>
    <dgm:pt modelId="{38B7F6C2-EA6B-4FEA-A344-CA8EA010F3D1}" type="parTrans" cxnId="{618E6366-7F0E-4042-8BEF-054732F49D0C}">
      <dgm:prSet/>
      <dgm:spPr/>
      <dgm:t>
        <a:bodyPr/>
        <a:lstStyle/>
        <a:p>
          <a:endParaRPr lang="en-US" b="1"/>
        </a:p>
      </dgm:t>
    </dgm:pt>
    <dgm:pt modelId="{D410CFBF-2C49-40C7-8A39-9F1A1453792C}" type="sibTrans" cxnId="{618E6366-7F0E-4042-8BEF-054732F49D0C}">
      <dgm:prSet/>
      <dgm:spPr/>
      <dgm:t>
        <a:bodyPr/>
        <a:lstStyle/>
        <a:p>
          <a:endParaRPr lang="en-US" b="1"/>
        </a:p>
      </dgm:t>
    </dgm:pt>
    <dgm:pt modelId="{CFB8BFEE-67F4-4D47-8069-50F948D04028}">
      <dgm:prSet phldrT="[Text]"/>
      <dgm:spPr/>
      <dgm:t>
        <a:bodyPr/>
        <a:lstStyle/>
        <a:p>
          <a:r>
            <a:rPr lang="en-US" b="1"/>
            <a:t>Step 6</a:t>
          </a:r>
        </a:p>
      </dgm:t>
    </dgm:pt>
    <dgm:pt modelId="{955D0B11-27AE-494B-8A33-7C619F043FD6}" type="parTrans" cxnId="{94C4D290-5DD0-4BE5-88D9-E487CFAFCA45}">
      <dgm:prSet/>
      <dgm:spPr/>
      <dgm:t>
        <a:bodyPr/>
        <a:lstStyle/>
        <a:p>
          <a:endParaRPr lang="en-US" b="1"/>
        </a:p>
      </dgm:t>
    </dgm:pt>
    <dgm:pt modelId="{A60641BC-8904-41A4-BFF6-A9C3C44A5028}" type="sibTrans" cxnId="{94C4D290-5DD0-4BE5-88D9-E487CFAFCA45}">
      <dgm:prSet/>
      <dgm:spPr/>
      <dgm:t>
        <a:bodyPr/>
        <a:lstStyle/>
        <a:p>
          <a:endParaRPr lang="en-US" b="1"/>
        </a:p>
      </dgm:t>
    </dgm:pt>
    <dgm:pt modelId="{657926D8-9ED6-4620-8D1F-B6AD07FE8209}">
      <dgm:prSet phldrT="[Text]"/>
      <dgm:spPr>
        <a:solidFill>
          <a:schemeClr val="accent2">
            <a:lumMod val="50000"/>
          </a:schemeClr>
        </a:solidFill>
      </dgm:spPr>
      <dgm:t>
        <a:bodyPr/>
        <a:lstStyle/>
        <a:p>
          <a:r>
            <a:rPr lang="en-US" b="1"/>
            <a:t>Assessment of Needs</a:t>
          </a:r>
        </a:p>
      </dgm:t>
    </dgm:pt>
    <dgm:pt modelId="{469AB447-BFC2-4580-AAE5-5393399158B6}" type="parTrans" cxnId="{5DF0A151-70A1-4B2F-84AC-A9FC8D741F64}">
      <dgm:prSet/>
      <dgm:spPr/>
      <dgm:t>
        <a:bodyPr/>
        <a:lstStyle/>
        <a:p>
          <a:endParaRPr lang="en-US" b="1"/>
        </a:p>
      </dgm:t>
    </dgm:pt>
    <dgm:pt modelId="{F60D5874-D2C7-46BA-9859-4BA718E792D4}" type="sibTrans" cxnId="{5DF0A151-70A1-4B2F-84AC-A9FC8D741F64}">
      <dgm:prSet/>
      <dgm:spPr/>
      <dgm:t>
        <a:bodyPr/>
        <a:lstStyle/>
        <a:p>
          <a:endParaRPr lang="en-US" b="1"/>
        </a:p>
      </dgm:t>
    </dgm:pt>
    <dgm:pt modelId="{A7A85185-0EB0-49C1-93E0-E65A2DD2A572}">
      <dgm:prSet phldrT="[Text]"/>
      <dgm:spPr>
        <a:solidFill>
          <a:schemeClr val="accent2"/>
        </a:solidFill>
      </dgm:spPr>
      <dgm:t>
        <a:bodyPr/>
        <a:lstStyle/>
        <a:p>
          <a:r>
            <a:rPr lang="en-US" b="1"/>
            <a:t>Concept Development and Feasibility</a:t>
          </a:r>
        </a:p>
      </dgm:t>
    </dgm:pt>
    <dgm:pt modelId="{F182B4E2-AC40-4679-91E5-C00FD96021C7}" type="parTrans" cxnId="{91B21185-365C-4004-8D1B-52553C1DC45D}">
      <dgm:prSet/>
      <dgm:spPr/>
      <dgm:t>
        <a:bodyPr/>
        <a:lstStyle/>
        <a:p>
          <a:endParaRPr lang="en-US" b="1"/>
        </a:p>
      </dgm:t>
    </dgm:pt>
    <dgm:pt modelId="{3C2458CB-317E-4072-9E46-8615533447BE}" type="sibTrans" cxnId="{91B21185-365C-4004-8D1B-52553C1DC45D}">
      <dgm:prSet/>
      <dgm:spPr/>
      <dgm:t>
        <a:bodyPr/>
        <a:lstStyle/>
        <a:p>
          <a:endParaRPr lang="en-US" b="1"/>
        </a:p>
      </dgm:t>
    </dgm:pt>
    <dgm:pt modelId="{256630C1-81A7-4FD0-B2E5-A0B5678A4405}">
      <dgm:prSet phldrT="[Text]"/>
      <dgm:spPr/>
      <dgm:t>
        <a:bodyPr/>
        <a:lstStyle/>
        <a:p>
          <a:r>
            <a:rPr lang="en-US" b="1"/>
            <a:t>Detailed System Planning and Design</a:t>
          </a:r>
        </a:p>
      </dgm:t>
    </dgm:pt>
    <dgm:pt modelId="{A7677F52-2058-4476-AAC1-0DF91558C8DD}" type="parTrans" cxnId="{BAFC910F-77D6-4EEE-8027-51DBDCBE7C5B}">
      <dgm:prSet/>
      <dgm:spPr/>
      <dgm:t>
        <a:bodyPr/>
        <a:lstStyle/>
        <a:p>
          <a:endParaRPr lang="en-US" b="1"/>
        </a:p>
      </dgm:t>
    </dgm:pt>
    <dgm:pt modelId="{9D38F940-DDAD-4994-BABA-C5C47973159F}" type="sibTrans" cxnId="{BAFC910F-77D6-4EEE-8027-51DBDCBE7C5B}">
      <dgm:prSet/>
      <dgm:spPr/>
      <dgm:t>
        <a:bodyPr/>
        <a:lstStyle/>
        <a:p>
          <a:endParaRPr lang="en-US" b="1"/>
        </a:p>
      </dgm:t>
    </dgm:pt>
    <dgm:pt modelId="{1EE6A204-B6D5-490B-9BF2-91125F02F507}">
      <dgm:prSet phldrT="[Text]"/>
      <dgm:spPr/>
      <dgm:t>
        <a:bodyPr/>
        <a:lstStyle/>
        <a:p>
          <a:r>
            <a:rPr lang="en-US" b="1"/>
            <a:t>Procurement</a:t>
          </a:r>
        </a:p>
      </dgm:t>
    </dgm:pt>
    <dgm:pt modelId="{79CCCD12-2DAF-4D44-8EF5-B8006D2F5726}" type="parTrans" cxnId="{D910AAF5-6DBB-4AF0-94D5-CA9E601C3C6E}">
      <dgm:prSet/>
      <dgm:spPr/>
      <dgm:t>
        <a:bodyPr/>
        <a:lstStyle/>
        <a:p>
          <a:endParaRPr lang="en-US" b="1"/>
        </a:p>
      </dgm:t>
    </dgm:pt>
    <dgm:pt modelId="{884EFF13-3F03-48EB-92BD-A1F9638A0D2E}" type="sibTrans" cxnId="{D910AAF5-6DBB-4AF0-94D5-CA9E601C3C6E}">
      <dgm:prSet/>
      <dgm:spPr/>
      <dgm:t>
        <a:bodyPr/>
        <a:lstStyle/>
        <a:p>
          <a:endParaRPr lang="en-US" b="1"/>
        </a:p>
      </dgm:t>
    </dgm:pt>
    <dgm:pt modelId="{C38EDBD1-7674-4D3E-9D4B-FF1B3CDC87A0}">
      <dgm:prSet phldrT="[Text]"/>
      <dgm:spPr/>
      <dgm:t>
        <a:bodyPr/>
        <a:lstStyle/>
        <a:p>
          <a:r>
            <a:rPr lang="en-US" b="1"/>
            <a:t>System Deployment</a:t>
          </a:r>
        </a:p>
      </dgm:t>
    </dgm:pt>
    <dgm:pt modelId="{5DA471D5-8AEF-4C22-BAF8-365E348E9B24}" type="parTrans" cxnId="{A9BF5C4C-53F3-4588-9FD1-26DBC9150166}">
      <dgm:prSet/>
      <dgm:spPr/>
      <dgm:t>
        <a:bodyPr/>
        <a:lstStyle/>
        <a:p>
          <a:endParaRPr lang="en-US" b="1"/>
        </a:p>
      </dgm:t>
    </dgm:pt>
    <dgm:pt modelId="{B802B22E-5979-448F-991E-11797404A879}" type="sibTrans" cxnId="{A9BF5C4C-53F3-4588-9FD1-26DBC9150166}">
      <dgm:prSet/>
      <dgm:spPr/>
      <dgm:t>
        <a:bodyPr/>
        <a:lstStyle/>
        <a:p>
          <a:endParaRPr lang="en-US" b="1"/>
        </a:p>
      </dgm:t>
    </dgm:pt>
    <dgm:pt modelId="{94DB924B-4B31-4622-8E0B-A618246FBC54}">
      <dgm:prSet phldrT="[Text]"/>
      <dgm:spPr/>
      <dgm:t>
        <a:bodyPr/>
        <a:lstStyle/>
        <a:p>
          <a:r>
            <a:rPr lang="en-US" b="1"/>
            <a:t>System Operations, Maintenance and Evaluation </a:t>
          </a:r>
        </a:p>
      </dgm:t>
    </dgm:pt>
    <dgm:pt modelId="{B304AAB3-CE83-49EF-BB8C-56659372A380}" type="parTrans" cxnId="{1D215A00-4EB2-491F-88F4-94A72CA42D6B}">
      <dgm:prSet/>
      <dgm:spPr/>
      <dgm:t>
        <a:bodyPr/>
        <a:lstStyle/>
        <a:p>
          <a:endParaRPr lang="en-US" b="1"/>
        </a:p>
      </dgm:t>
    </dgm:pt>
    <dgm:pt modelId="{A6D58C1B-2F4C-43E1-9FD1-76994F8AB36B}" type="sibTrans" cxnId="{1D215A00-4EB2-491F-88F4-94A72CA42D6B}">
      <dgm:prSet/>
      <dgm:spPr/>
      <dgm:t>
        <a:bodyPr/>
        <a:lstStyle/>
        <a:p>
          <a:endParaRPr lang="en-US" b="1"/>
        </a:p>
      </dgm:t>
    </dgm:pt>
    <dgm:pt modelId="{44697794-1A1F-4DE3-A1D0-6AD26A880290}">
      <dgm:prSet phldrT="[Text]"/>
      <dgm:spPr>
        <a:solidFill>
          <a:schemeClr val="accent2">
            <a:lumMod val="50000"/>
          </a:schemeClr>
        </a:solidFill>
      </dgm:spPr>
      <dgm:t>
        <a:bodyPr/>
        <a:lstStyle/>
        <a:p>
          <a:r>
            <a:rPr lang="en-US" b="1"/>
            <a:t>STAKEHOLDERS WIZARD</a:t>
          </a:r>
        </a:p>
      </dgm:t>
    </dgm:pt>
    <dgm:pt modelId="{A85E208D-4AC9-4F2B-BC80-49D29019D88B}" type="parTrans" cxnId="{438806AE-BB8C-4B75-B371-7CCABD07A2BA}">
      <dgm:prSet/>
      <dgm:spPr/>
      <dgm:t>
        <a:bodyPr/>
        <a:lstStyle/>
        <a:p>
          <a:endParaRPr lang="en-US"/>
        </a:p>
      </dgm:t>
    </dgm:pt>
    <dgm:pt modelId="{FA82624B-29EA-443B-8D0D-92CE3CAE9349}" type="sibTrans" cxnId="{438806AE-BB8C-4B75-B371-7CCABD07A2BA}">
      <dgm:prSet/>
      <dgm:spPr/>
      <dgm:t>
        <a:bodyPr/>
        <a:lstStyle/>
        <a:p>
          <a:endParaRPr lang="en-US"/>
        </a:p>
      </dgm:t>
    </dgm:pt>
    <dgm:pt modelId="{55A7A882-5A70-4444-B867-99FD1A53EB62}" type="pres">
      <dgm:prSet presAssocID="{B8421806-6DD4-4280-AB4E-8475FF2BC7B5}" presName="Name0" presStyleCnt="0">
        <dgm:presLayoutVars>
          <dgm:dir/>
          <dgm:resizeHandles val="exact"/>
        </dgm:presLayoutVars>
      </dgm:prSet>
      <dgm:spPr/>
    </dgm:pt>
    <dgm:pt modelId="{71B41537-7BC0-4A04-BEB0-E3D06D873071}" type="pres">
      <dgm:prSet presAssocID="{762D1DA6-49EA-4CDB-962A-304A5AEB4579}" presName="parAndChTx" presStyleLbl="node1" presStyleIdx="0" presStyleCnt="6">
        <dgm:presLayoutVars>
          <dgm:bulletEnabled val="1"/>
        </dgm:presLayoutVars>
      </dgm:prSet>
      <dgm:spPr/>
    </dgm:pt>
    <dgm:pt modelId="{4415FD86-A9B4-491F-BA5E-C3D5F93B6F9C}" type="pres">
      <dgm:prSet presAssocID="{54F37F2C-0DCD-4F01-AB31-D41F37556CD9}" presName="parAndChSpace" presStyleCnt="0"/>
      <dgm:spPr/>
    </dgm:pt>
    <dgm:pt modelId="{BBFD4B6D-84F5-4ADF-B5CE-8754B177FD2A}" type="pres">
      <dgm:prSet presAssocID="{AD97DA52-4754-4CE4-9ED2-FD3B9F1B8DA5}" presName="parAndChTx" presStyleLbl="node1" presStyleIdx="1" presStyleCnt="6">
        <dgm:presLayoutVars>
          <dgm:bulletEnabled val="1"/>
        </dgm:presLayoutVars>
      </dgm:prSet>
      <dgm:spPr/>
    </dgm:pt>
    <dgm:pt modelId="{6D0A797D-7721-4034-9CB0-C4B08E96DE5C}" type="pres">
      <dgm:prSet presAssocID="{195D1DF0-A405-45E3-93A8-6DDC7F3263CA}" presName="parAndChSpace" presStyleCnt="0"/>
      <dgm:spPr/>
    </dgm:pt>
    <dgm:pt modelId="{D01D49DE-684A-48AE-B439-6B7B11988782}" type="pres">
      <dgm:prSet presAssocID="{E2323A39-F59C-4AEE-A593-42D0A88D2023}" presName="parAndChTx" presStyleLbl="node1" presStyleIdx="2" presStyleCnt="6">
        <dgm:presLayoutVars>
          <dgm:bulletEnabled val="1"/>
        </dgm:presLayoutVars>
      </dgm:prSet>
      <dgm:spPr/>
    </dgm:pt>
    <dgm:pt modelId="{6253A275-A812-45AC-AB18-5AC647594515}" type="pres">
      <dgm:prSet presAssocID="{C0A00DEF-D161-4176-9D50-11D4B0EF2241}" presName="parAndChSpace" presStyleCnt="0"/>
      <dgm:spPr/>
    </dgm:pt>
    <dgm:pt modelId="{FB9E678D-517B-4064-8BE6-491B9CADBBA1}" type="pres">
      <dgm:prSet presAssocID="{B81D8811-5D2D-4CEF-AB0C-3E4C88A02ED2}" presName="parAndChTx" presStyleLbl="node1" presStyleIdx="3" presStyleCnt="6">
        <dgm:presLayoutVars>
          <dgm:bulletEnabled val="1"/>
        </dgm:presLayoutVars>
      </dgm:prSet>
      <dgm:spPr/>
    </dgm:pt>
    <dgm:pt modelId="{F8987408-0B75-4214-8523-04BD9C2F983C}" type="pres">
      <dgm:prSet presAssocID="{75941F92-8299-4841-BB39-CF0C2E38032D}" presName="parAndChSpace" presStyleCnt="0"/>
      <dgm:spPr/>
    </dgm:pt>
    <dgm:pt modelId="{A0E5C641-531F-47C4-8604-720EC38690FD}" type="pres">
      <dgm:prSet presAssocID="{85B9B320-1EE9-4BE0-B8CC-2B1C974A62D6}" presName="parAndChTx" presStyleLbl="node1" presStyleIdx="4" presStyleCnt="6">
        <dgm:presLayoutVars>
          <dgm:bulletEnabled val="1"/>
        </dgm:presLayoutVars>
      </dgm:prSet>
      <dgm:spPr/>
    </dgm:pt>
    <dgm:pt modelId="{53155E33-45D1-4C65-B374-1AFD4A336EFC}" type="pres">
      <dgm:prSet presAssocID="{D410CFBF-2C49-40C7-8A39-9F1A1453792C}" presName="parAndChSpace" presStyleCnt="0"/>
      <dgm:spPr/>
    </dgm:pt>
    <dgm:pt modelId="{221DFDEE-AD71-4B36-B382-07D1D7B438BC}" type="pres">
      <dgm:prSet presAssocID="{CFB8BFEE-67F4-4D47-8069-50F948D04028}" presName="parAndChTx" presStyleLbl="node1" presStyleIdx="5" presStyleCnt="6">
        <dgm:presLayoutVars>
          <dgm:bulletEnabled val="1"/>
        </dgm:presLayoutVars>
      </dgm:prSet>
      <dgm:spPr/>
    </dgm:pt>
  </dgm:ptLst>
  <dgm:cxnLst>
    <dgm:cxn modelId="{1D215A00-4EB2-491F-88F4-94A72CA42D6B}" srcId="{CFB8BFEE-67F4-4D47-8069-50F948D04028}" destId="{94DB924B-4B31-4622-8E0B-A618246FBC54}" srcOrd="0" destOrd="0" parTransId="{B304AAB3-CE83-49EF-BB8C-56659372A380}" sibTransId="{A6D58C1B-2F4C-43E1-9FD1-76994F8AB36B}"/>
    <dgm:cxn modelId="{3731C805-8ECC-403A-BC33-6EBF8441A127}" type="presOf" srcId="{94DB924B-4B31-4622-8E0B-A618246FBC54}" destId="{221DFDEE-AD71-4B36-B382-07D1D7B438BC}" srcOrd="0" destOrd="1" presId="urn:microsoft.com/office/officeart/2005/8/layout/hChevron3"/>
    <dgm:cxn modelId="{BAFC910F-77D6-4EEE-8027-51DBDCBE7C5B}" srcId="{E2323A39-F59C-4AEE-A593-42D0A88D2023}" destId="{256630C1-81A7-4FD0-B2E5-A0B5678A4405}" srcOrd="0" destOrd="0" parTransId="{A7677F52-2058-4476-AAC1-0DF91558C8DD}" sibTransId="{9D38F940-DDAD-4994-BABA-C5C47973159F}"/>
    <dgm:cxn modelId="{43E1D60F-72C2-48A0-9E27-553B5CA433AA}" type="presOf" srcId="{256630C1-81A7-4FD0-B2E5-A0B5678A4405}" destId="{D01D49DE-684A-48AE-B439-6B7B11988782}" srcOrd="0" destOrd="1" presId="urn:microsoft.com/office/officeart/2005/8/layout/hChevron3"/>
    <dgm:cxn modelId="{5ECB6711-DFBE-43CA-9E62-585B8D8E082D}" type="presOf" srcId="{B8421806-6DD4-4280-AB4E-8475FF2BC7B5}" destId="{55A7A882-5A70-4444-B867-99FD1A53EB62}" srcOrd="0" destOrd="0" presId="urn:microsoft.com/office/officeart/2005/8/layout/hChevron3"/>
    <dgm:cxn modelId="{E0D0D716-2424-4CC7-81D2-9F368F599D5B}" type="presOf" srcId="{657926D8-9ED6-4620-8D1F-B6AD07FE8209}" destId="{71B41537-7BC0-4A04-BEB0-E3D06D873071}" srcOrd="0" destOrd="1" presId="urn:microsoft.com/office/officeart/2005/8/layout/hChevron3"/>
    <dgm:cxn modelId="{46FD8217-34D3-4B2D-96B0-A1DAE33DAC0A}" type="presOf" srcId="{C38EDBD1-7674-4D3E-9D4B-FF1B3CDC87A0}" destId="{A0E5C641-531F-47C4-8604-720EC38690FD}" srcOrd="0" destOrd="1" presId="urn:microsoft.com/office/officeart/2005/8/layout/hChevron3"/>
    <dgm:cxn modelId="{239EA626-3185-4C79-AFA8-8112B7CEF0A2}" type="presOf" srcId="{CFB8BFEE-67F4-4D47-8069-50F948D04028}" destId="{221DFDEE-AD71-4B36-B382-07D1D7B438BC}" srcOrd="0" destOrd="0" presId="urn:microsoft.com/office/officeart/2005/8/layout/hChevron3"/>
    <dgm:cxn modelId="{E183052B-5156-40C7-B935-D50659069580}" type="presOf" srcId="{44697794-1A1F-4DE3-A1D0-6AD26A880290}" destId="{71B41537-7BC0-4A04-BEB0-E3D06D873071}" srcOrd="0" destOrd="2" presId="urn:microsoft.com/office/officeart/2005/8/layout/hChevron3"/>
    <dgm:cxn modelId="{D649AE30-5FE7-44B7-B8A2-BE7249B8D64F}" type="presOf" srcId="{AD97DA52-4754-4CE4-9ED2-FD3B9F1B8DA5}" destId="{BBFD4B6D-84F5-4ADF-B5CE-8754B177FD2A}" srcOrd="0" destOrd="0" presId="urn:microsoft.com/office/officeart/2005/8/layout/hChevron3"/>
    <dgm:cxn modelId="{095C9A3B-E162-44AD-A8D9-BBA703E13551}" type="presOf" srcId="{E2323A39-F59C-4AEE-A593-42D0A88D2023}" destId="{D01D49DE-684A-48AE-B439-6B7B11988782}" srcOrd="0" destOrd="0" presId="urn:microsoft.com/office/officeart/2005/8/layout/hChevron3"/>
    <dgm:cxn modelId="{7E9A4D3F-C3E3-4E9F-9B0D-BD5F24C52AA6}" type="presOf" srcId="{B81D8811-5D2D-4CEF-AB0C-3E4C88A02ED2}" destId="{FB9E678D-517B-4064-8BE6-491B9CADBBA1}" srcOrd="0" destOrd="0" presId="urn:microsoft.com/office/officeart/2005/8/layout/hChevron3"/>
    <dgm:cxn modelId="{618E6366-7F0E-4042-8BEF-054732F49D0C}" srcId="{B8421806-6DD4-4280-AB4E-8475FF2BC7B5}" destId="{85B9B320-1EE9-4BE0-B8CC-2B1C974A62D6}" srcOrd="4" destOrd="0" parTransId="{38B7F6C2-EA6B-4FEA-A344-CA8EA010F3D1}" sibTransId="{D410CFBF-2C49-40C7-8A39-9F1A1453792C}"/>
    <dgm:cxn modelId="{A9BF5C4C-53F3-4588-9FD1-26DBC9150166}" srcId="{85B9B320-1EE9-4BE0-B8CC-2B1C974A62D6}" destId="{C38EDBD1-7674-4D3E-9D4B-FF1B3CDC87A0}" srcOrd="0" destOrd="0" parTransId="{5DA471D5-8AEF-4C22-BAF8-365E348E9B24}" sibTransId="{B802B22E-5979-448F-991E-11797404A879}"/>
    <dgm:cxn modelId="{63D73E50-3474-40B6-9712-88EEB0FCE7D4}" type="presOf" srcId="{1EE6A204-B6D5-490B-9BF2-91125F02F507}" destId="{FB9E678D-517B-4064-8BE6-491B9CADBBA1}" srcOrd="0" destOrd="1" presId="urn:microsoft.com/office/officeart/2005/8/layout/hChevron3"/>
    <dgm:cxn modelId="{5DF0A151-70A1-4B2F-84AC-A9FC8D741F64}" srcId="{762D1DA6-49EA-4CDB-962A-304A5AEB4579}" destId="{657926D8-9ED6-4620-8D1F-B6AD07FE8209}" srcOrd="0" destOrd="0" parTransId="{469AB447-BFC2-4580-AAE5-5393399158B6}" sibTransId="{F60D5874-D2C7-46BA-9859-4BA718E792D4}"/>
    <dgm:cxn modelId="{0A855972-E999-4C55-A89B-FBD7D58D3D3F}" srcId="{B8421806-6DD4-4280-AB4E-8475FF2BC7B5}" destId="{E2323A39-F59C-4AEE-A593-42D0A88D2023}" srcOrd="2" destOrd="0" parTransId="{C9C81BEA-8D2F-4046-9AF9-9173E3836ABB}" sibTransId="{C0A00DEF-D161-4176-9D50-11D4B0EF2241}"/>
    <dgm:cxn modelId="{91B21185-365C-4004-8D1B-52553C1DC45D}" srcId="{AD97DA52-4754-4CE4-9ED2-FD3B9F1B8DA5}" destId="{A7A85185-0EB0-49C1-93E0-E65A2DD2A572}" srcOrd="0" destOrd="0" parTransId="{F182B4E2-AC40-4679-91E5-C00FD96021C7}" sibTransId="{3C2458CB-317E-4072-9E46-8615533447BE}"/>
    <dgm:cxn modelId="{94C4D290-5DD0-4BE5-88D9-E487CFAFCA45}" srcId="{B8421806-6DD4-4280-AB4E-8475FF2BC7B5}" destId="{CFB8BFEE-67F4-4D47-8069-50F948D04028}" srcOrd="5" destOrd="0" parTransId="{955D0B11-27AE-494B-8A33-7C619F043FD6}" sibTransId="{A60641BC-8904-41A4-BFF6-A9C3C44A5028}"/>
    <dgm:cxn modelId="{C68E7596-F8EF-4007-BD60-0BA91C6D959F}" type="presOf" srcId="{762D1DA6-49EA-4CDB-962A-304A5AEB4579}" destId="{71B41537-7BC0-4A04-BEB0-E3D06D873071}" srcOrd="0" destOrd="0" presId="urn:microsoft.com/office/officeart/2005/8/layout/hChevron3"/>
    <dgm:cxn modelId="{8753D19A-4E74-4053-BD07-A349F819655A}" srcId="{B8421806-6DD4-4280-AB4E-8475FF2BC7B5}" destId="{AD97DA52-4754-4CE4-9ED2-FD3B9F1B8DA5}" srcOrd="1" destOrd="0" parTransId="{F01045F3-717F-4F35-99E1-CE08B97C07F7}" sibTransId="{195D1DF0-A405-45E3-93A8-6DDC7F3263CA}"/>
    <dgm:cxn modelId="{31B66C9B-7416-4D1B-BCCF-9700DB6AFDF9}" type="presOf" srcId="{85B9B320-1EE9-4BE0-B8CC-2B1C974A62D6}" destId="{A0E5C641-531F-47C4-8604-720EC38690FD}" srcOrd="0" destOrd="0" presId="urn:microsoft.com/office/officeart/2005/8/layout/hChevron3"/>
    <dgm:cxn modelId="{010CCDA9-25FB-4FE1-A3D6-BD1E5768A7DB}" type="presOf" srcId="{A7A85185-0EB0-49C1-93E0-E65A2DD2A572}" destId="{BBFD4B6D-84F5-4ADF-B5CE-8754B177FD2A}" srcOrd="0" destOrd="1" presId="urn:microsoft.com/office/officeart/2005/8/layout/hChevron3"/>
    <dgm:cxn modelId="{438806AE-BB8C-4B75-B371-7CCABD07A2BA}" srcId="{657926D8-9ED6-4620-8D1F-B6AD07FE8209}" destId="{44697794-1A1F-4DE3-A1D0-6AD26A880290}" srcOrd="0" destOrd="0" parTransId="{A85E208D-4AC9-4F2B-BC80-49D29019D88B}" sibTransId="{FA82624B-29EA-443B-8D0D-92CE3CAE9349}"/>
    <dgm:cxn modelId="{8F09C9D0-D50C-477E-94AF-0B649E304562}" srcId="{B8421806-6DD4-4280-AB4E-8475FF2BC7B5}" destId="{762D1DA6-49EA-4CDB-962A-304A5AEB4579}" srcOrd="0" destOrd="0" parTransId="{5DAF41C1-177B-4E7A-B56F-FEFA1FDD04C2}" sibTransId="{54F37F2C-0DCD-4F01-AB31-D41F37556CD9}"/>
    <dgm:cxn modelId="{B893CDE9-0202-4C5F-AD8B-E4713642D0F7}" srcId="{B8421806-6DD4-4280-AB4E-8475FF2BC7B5}" destId="{B81D8811-5D2D-4CEF-AB0C-3E4C88A02ED2}" srcOrd="3" destOrd="0" parTransId="{74972EDE-2384-405E-AC3C-22FD3E27137E}" sibTransId="{75941F92-8299-4841-BB39-CF0C2E38032D}"/>
    <dgm:cxn modelId="{D910AAF5-6DBB-4AF0-94D5-CA9E601C3C6E}" srcId="{B81D8811-5D2D-4CEF-AB0C-3E4C88A02ED2}" destId="{1EE6A204-B6D5-490B-9BF2-91125F02F507}" srcOrd="0" destOrd="0" parTransId="{79CCCD12-2DAF-4D44-8EF5-B8006D2F5726}" sibTransId="{884EFF13-3F03-48EB-92BD-A1F9638A0D2E}"/>
    <dgm:cxn modelId="{13DB34D5-EDCB-468A-9D83-9188B1FCB3C8}" type="presParOf" srcId="{55A7A882-5A70-4444-B867-99FD1A53EB62}" destId="{71B41537-7BC0-4A04-BEB0-E3D06D873071}" srcOrd="0" destOrd="0" presId="urn:microsoft.com/office/officeart/2005/8/layout/hChevron3"/>
    <dgm:cxn modelId="{D1ED9602-0FF1-41BA-ABD4-BE4095633C20}" type="presParOf" srcId="{55A7A882-5A70-4444-B867-99FD1A53EB62}" destId="{4415FD86-A9B4-491F-BA5E-C3D5F93B6F9C}" srcOrd="1" destOrd="0" presId="urn:microsoft.com/office/officeart/2005/8/layout/hChevron3"/>
    <dgm:cxn modelId="{8E83FE69-8EA4-4FD4-9552-20AD21DE72D0}" type="presParOf" srcId="{55A7A882-5A70-4444-B867-99FD1A53EB62}" destId="{BBFD4B6D-84F5-4ADF-B5CE-8754B177FD2A}" srcOrd="2" destOrd="0" presId="urn:microsoft.com/office/officeart/2005/8/layout/hChevron3"/>
    <dgm:cxn modelId="{EF14385F-44E8-4CC9-8AE1-00F21C78E351}" type="presParOf" srcId="{55A7A882-5A70-4444-B867-99FD1A53EB62}" destId="{6D0A797D-7721-4034-9CB0-C4B08E96DE5C}" srcOrd="3" destOrd="0" presId="urn:microsoft.com/office/officeart/2005/8/layout/hChevron3"/>
    <dgm:cxn modelId="{9CBC8BF5-949C-446A-AAC7-C2008CBDFDF7}" type="presParOf" srcId="{55A7A882-5A70-4444-B867-99FD1A53EB62}" destId="{D01D49DE-684A-48AE-B439-6B7B11988782}" srcOrd="4" destOrd="0" presId="urn:microsoft.com/office/officeart/2005/8/layout/hChevron3"/>
    <dgm:cxn modelId="{87E6CEC5-375A-4152-80F4-B7AB316F0926}" type="presParOf" srcId="{55A7A882-5A70-4444-B867-99FD1A53EB62}" destId="{6253A275-A812-45AC-AB18-5AC647594515}" srcOrd="5" destOrd="0" presId="urn:microsoft.com/office/officeart/2005/8/layout/hChevron3"/>
    <dgm:cxn modelId="{6D6BBD87-FBA4-4013-9CCB-88793542F355}" type="presParOf" srcId="{55A7A882-5A70-4444-B867-99FD1A53EB62}" destId="{FB9E678D-517B-4064-8BE6-491B9CADBBA1}" srcOrd="6" destOrd="0" presId="urn:microsoft.com/office/officeart/2005/8/layout/hChevron3"/>
    <dgm:cxn modelId="{82E4607F-B7F6-48AB-85E6-E4ABD225295F}" type="presParOf" srcId="{55A7A882-5A70-4444-B867-99FD1A53EB62}" destId="{F8987408-0B75-4214-8523-04BD9C2F983C}" srcOrd="7" destOrd="0" presId="urn:microsoft.com/office/officeart/2005/8/layout/hChevron3"/>
    <dgm:cxn modelId="{C8BB82AF-BE23-4135-8981-12F16ACE8B2C}" type="presParOf" srcId="{55A7A882-5A70-4444-B867-99FD1A53EB62}" destId="{A0E5C641-531F-47C4-8604-720EC38690FD}" srcOrd="8" destOrd="0" presId="urn:microsoft.com/office/officeart/2005/8/layout/hChevron3"/>
    <dgm:cxn modelId="{7456BD46-56F4-4A0F-A86B-4C5598DBC257}" type="presParOf" srcId="{55A7A882-5A70-4444-B867-99FD1A53EB62}" destId="{53155E33-45D1-4C65-B374-1AFD4A336EFC}" srcOrd="9" destOrd="0" presId="urn:microsoft.com/office/officeart/2005/8/layout/hChevron3"/>
    <dgm:cxn modelId="{831F5208-2538-41B9-A539-3211F32635B5}" type="presParOf" srcId="{55A7A882-5A70-4444-B867-99FD1A53EB62}" destId="{221DFDEE-AD71-4B36-B382-07D1D7B438BC}" srcOrd="10" destOrd="0" presId="urn:microsoft.com/office/officeart/2005/8/layout/hChevron3"/>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71B41537-7BC0-4A04-BEB0-E3D06D873071}">
      <dsp:nvSpPr>
        <dsp:cNvPr id="0" name=""/>
        <dsp:cNvSpPr/>
      </dsp:nvSpPr>
      <dsp:spPr>
        <a:xfrm>
          <a:off x="742" y="25612"/>
          <a:ext cx="1216235" cy="972988"/>
        </a:xfrm>
        <a:prstGeom prst="homePlate">
          <a:avLst>
            <a:gd name="adj" fmla="val 25000"/>
          </a:avLst>
        </a:prstGeom>
        <a:solidFill>
          <a:schemeClr val="accent2">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42906" tIns="25400" rIns="171624" bIns="25400" numCol="1" spcCol="1270" anchor="t" anchorCtr="0">
          <a:noAutofit/>
        </a:bodyPr>
        <a:lstStyle/>
        <a:p>
          <a:pPr marL="0" lvl="0" indent="0" algn="l" defTabSz="444500">
            <a:lnSpc>
              <a:spcPct val="90000"/>
            </a:lnSpc>
            <a:spcBef>
              <a:spcPct val="0"/>
            </a:spcBef>
            <a:spcAft>
              <a:spcPct val="35000"/>
            </a:spcAft>
            <a:buNone/>
          </a:pPr>
          <a:r>
            <a:rPr lang="en-US" sz="1000" b="1" kern="1200"/>
            <a:t>Step 1 </a:t>
          </a:r>
        </a:p>
        <a:p>
          <a:pPr marL="57150" lvl="1" indent="-57150" algn="l" defTabSz="355600">
            <a:lnSpc>
              <a:spcPct val="90000"/>
            </a:lnSpc>
            <a:spcBef>
              <a:spcPct val="0"/>
            </a:spcBef>
            <a:spcAft>
              <a:spcPct val="15000"/>
            </a:spcAft>
            <a:buChar char="•"/>
          </a:pPr>
          <a:r>
            <a:rPr lang="en-US" sz="800" b="1" kern="1200"/>
            <a:t>Assessment of Needs</a:t>
          </a:r>
        </a:p>
      </dsp:txBody>
      <dsp:txXfrm>
        <a:off x="742" y="25612"/>
        <a:ext cx="1094612" cy="972988"/>
      </dsp:txXfrm>
    </dsp:sp>
    <dsp:sp modelId="{BBFD4B6D-84F5-4ADF-B5CE-8754B177FD2A}">
      <dsp:nvSpPr>
        <dsp:cNvPr id="0" name=""/>
        <dsp:cNvSpPr/>
      </dsp:nvSpPr>
      <dsp:spPr>
        <a:xfrm>
          <a:off x="973731" y="25612"/>
          <a:ext cx="1216235" cy="972988"/>
        </a:xfrm>
        <a:prstGeom prst="chevron">
          <a:avLst>
            <a:gd name="adj" fmla="val 25000"/>
          </a:avLst>
        </a:prstGeom>
        <a:solidFill>
          <a:schemeClr val="accent2">
            <a:lumMod val="5000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42906" tIns="25400" rIns="42906" bIns="25400" numCol="1" spcCol="1270" anchor="t" anchorCtr="0">
          <a:noAutofit/>
        </a:bodyPr>
        <a:lstStyle/>
        <a:p>
          <a:pPr marL="0" lvl="0" indent="0" algn="l" defTabSz="444500">
            <a:lnSpc>
              <a:spcPct val="90000"/>
            </a:lnSpc>
            <a:spcBef>
              <a:spcPct val="0"/>
            </a:spcBef>
            <a:spcAft>
              <a:spcPct val="35000"/>
            </a:spcAft>
            <a:buNone/>
          </a:pPr>
          <a:r>
            <a:rPr lang="en-US" sz="1000" b="1" kern="1200"/>
            <a:t>Step 2</a:t>
          </a:r>
        </a:p>
        <a:p>
          <a:pPr marL="57150" lvl="1" indent="-57150" algn="l" defTabSz="355600">
            <a:lnSpc>
              <a:spcPct val="90000"/>
            </a:lnSpc>
            <a:spcBef>
              <a:spcPct val="0"/>
            </a:spcBef>
            <a:spcAft>
              <a:spcPct val="15000"/>
            </a:spcAft>
            <a:buChar char="•"/>
          </a:pPr>
          <a:r>
            <a:rPr lang="en-US" sz="800" b="1" kern="1200"/>
            <a:t>Concept Development and Feasibility</a:t>
          </a:r>
        </a:p>
        <a:p>
          <a:pPr marL="114300" lvl="2" indent="-57150" algn="l" defTabSz="355600">
            <a:lnSpc>
              <a:spcPct val="90000"/>
            </a:lnSpc>
            <a:spcBef>
              <a:spcPct val="0"/>
            </a:spcBef>
            <a:spcAft>
              <a:spcPct val="15000"/>
            </a:spcAft>
            <a:buChar char="•"/>
          </a:pPr>
          <a:r>
            <a:rPr lang="en-US" sz="800" b="1" kern="1200"/>
            <a:t>FEASIBILITY WIZARD</a:t>
          </a:r>
        </a:p>
      </dsp:txBody>
      <dsp:txXfrm>
        <a:off x="1216978" y="25612"/>
        <a:ext cx="729741" cy="972988"/>
      </dsp:txXfrm>
    </dsp:sp>
    <dsp:sp modelId="{D01D49DE-684A-48AE-B439-6B7B11988782}">
      <dsp:nvSpPr>
        <dsp:cNvPr id="0" name=""/>
        <dsp:cNvSpPr/>
      </dsp:nvSpPr>
      <dsp:spPr>
        <a:xfrm>
          <a:off x="1946720" y="25612"/>
          <a:ext cx="1216235" cy="972988"/>
        </a:xfrm>
        <a:prstGeom prst="chevron">
          <a:avLst>
            <a:gd name="adj" fmla="val 25000"/>
          </a:avLst>
        </a:prstGeom>
        <a:solidFill>
          <a:schemeClr val="accent2">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42906" tIns="25400" rIns="42906" bIns="25400" numCol="1" spcCol="1270" anchor="t" anchorCtr="0">
          <a:noAutofit/>
        </a:bodyPr>
        <a:lstStyle/>
        <a:p>
          <a:pPr marL="0" lvl="0" indent="0" algn="l" defTabSz="444500">
            <a:lnSpc>
              <a:spcPct val="90000"/>
            </a:lnSpc>
            <a:spcBef>
              <a:spcPct val="0"/>
            </a:spcBef>
            <a:spcAft>
              <a:spcPct val="35000"/>
            </a:spcAft>
            <a:buNone/>
          </a:pPr>
          <a:r>
            <a:rPr lang="en-US" sz="1000" b="1" kern="1200"/>
            <a:t>Step 3</a:t>
          </a:r>
        </a:p>
        <a:p>
          <a:pPr marL="57150" lvl="1" indent="-57150" algn="l" defTabSz="355600">
            <a:lnSpc>
              <a:spcPct val="90000"/>
            </a:lnSpc>
            <a:spcBef>
              <a:spcPct val="0"/>
            </a:spcBef>
            <a:spcAft>
              <a:spcPct val="15000"/>
            </a:spcAft>
            <a:buChar char="•"/>
          </a:pPr>
          <a:r>
            <a:rPr lang="en-US" sz="800" b="1" kern="1200"/>
            <a:t>Detailed System Planning and Design</a:t>
          </a:r>
        </a:p>
      </dsp:txBody>
      <dsp:txXfrm>
        <a:off x="2189967" y="25612"/>
        <a:ext cx="729741" cy="972988"/>
      </dsp:txXfrm>
    </dsp:sp>
    <dsp:sp modelId="{FB9E678D-517B-4064-8BE6-491B9CADBBA1}">
      <dsp:nvSpPr>
        <dsp:cNvPr id="0" name=""/>
        <dsp:cNvSpPr/>
      </dsp:nvSpPr>
      <dsp:spPr>
        <a:xfrm>
          <a:off x="2919708" y="25612"/>
          <a:ext cx="1216235" cy="972988"/>
        </a:xfrm>
        <a:prstGeom prst="chevron">
          <a:avLst>
            <a:gd name="adj" fmla="val 25000"/>
          </a:avLst>
        </a:prstGeom>
        <a:solidFill>
          <a:schemeClr val="accent2">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42906" tIns="25400" rIns="42906" bIns="25400" numCol="1" spcCol="1270" anchor="t" anchorCtr="0">
          <a:noAutofit/>
        </a:bodyPr>
        <a:lstStyle/>
        <a:p>
          <a:pPr marL="0" lvl="0" indent="0" algn="l" defTabSz="444500">
            <a:lnSpc>
              <a:spcPct val="90000"/>
            </a:lnSpc>
            <a:spcBef>
              <a:spcPct val="0"/>
            </a:spcBef>
            <a:spcAft>
              <a:spcPct val="35000"/>
            </a:spcAft>
            <a:buNone/>
          </a:pPr>
          <a:r>
            <a:rPr lang="en-US" sz="1000" b="1" kern="1200"/>
            <a:t>Step 4</a:t>
          </a:r>
        </a:p>
        <a:p>
          <a:pPr marL="57150" lvl="1" indent="-57150" algn="l" defTabSz="355600">
            <a:lnSpc>
              <a:spcPct val="90000"/>
            </a:lnSpc>
            <a:spcBef>
              <a:spcPct val="0"/>
            </a:spcBef>
            <a:spcAft>
              <a:spcPct val="15000"/>
            </a:spcAft>
            <a:buChar char="•"/>
          </a:pPr>
          <a:r>
            <a:rPr lang="en-US" sz="800" b="1" kern="1200"/>
            <a:t>Procurement</a:t>
          </a:r>
        </a:p>
      </dsp:txBody>
      <dsp:txXfrm>
        <a:off x="3162955" y="25612"/>
        <a:ext cx="729741" cy="972988"/>
      </dsp:txXfrm>
    </dsp:sp>
    <dsp:sp modelId="{A0E5C641-531F-47C4-8604-720EC38690FD}">
      <dsp:nvSpPr>
        <dsp:cNvPr id="0" name=""/>
        <dsp:cNvSpPr/>
      </dsp:nvSpPr>
      <dsp:spPr>
        <a:xfrm>
          <a:off x="3892697" y="25612"/>
          <a:ext cx="1216235" cy="972988"/>
        </a:xfrm>
        <a:prstGeom prst="chevron">
          <a:avLst>
            <a:gd name="adj" fmla="val 25000"/>
          </a:avLst>
        </a:prstGeom>
        <a:solidFill>
          <a:schemeClr val="accent2">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42906" tIns="25400" rIns="42906" bIns="25400" numCol="1" spcCol="1270" anchor="t" anchorCtr="0">
          <a:noAutofit/>
        </a:bodyPr>
        <a:lstStyle/>
        <a:p>
          <a:pPr marL="0" lvl="0" indent="0" algn="l" defTabSz="444500">
            <a:lnSpc>
              <a:spcPct val="90000"/>
            </a:lnSpc>
            <a:spcBef>
              <a:spcPct val="0"/>
            </a:spcBef>
            <a:spcAft>
              <a:spcPct val="35000"/>
            </a:spcAft>
            <a:buNone/>
          </a:pPr>
          <a:r>
            <a:rPr lang="en-US" sz="1000" b="1" kern="1200"/>
            <a:t>Step 5</a:t>
          </a:r>
        </a:p>
        <a:p>
          <a:pPr marL="57150" lvl="1" indent="-57150" algn="l" defTabSz="355600">
            <a:lnSpc>
              <a:spcPct val="90000"/>
            </a:lnSpc>
            <a:spcBef>
              <a:spcPct val="0"/>
            </a:spcBef>
            <a:spcAft>
              <a:spcPct val="15000"/>
            </a:spcAft>
            <a:buChar char="•"/>
          </a:pPr>
          <a:r>
            <a:rPr lang="en-US" sz="800" b="1" kern="1200"/>
            <a:t>System Deployment</a:t>
          </a:r>
        </a:p>
      </dsp:txBody>
      <dsp:txXfrm>
        <a:off x="4135944" y="25612"/>
        <a:ext cx="729741" cy="972988"/>
      </dsp:txXfrm>
    </dsp:sp>
    <dsp:sp modelId="{221DFDEE-AD71-4B36-B382-07D1D7B438BC}">
      <dsp:nvSpPr>
        <dsp:cNvPr id="0" name=""/>
        <dsp:cNvSpPr/>
      </dsp:nvSpPr>
      <dsp:spPr>
        <a:xfrm>
          <a:off x="4865686" y="25612"/>
          <a:ext cx="1216235" cy="972988"/>
        </a:xfrm>
        <a:prstGeom prst="chevron">
          <a:avLst>
            <a:gd name="adj" fmla="val 25000"/>
          </a:avLst>
        </a:prstGeom>
        <a:solidFill>
          <a:schemeClr val="accent2">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42906" tIns="25400" rIns="42906" bIns="25400" numCol="1" spcCol="1270" anchor="t" anchorCtr="0">
          <a:noAutofit/>
        </a:bodyPr>
        <a:lstStyle/>
        <a:p>
          <a:pPr marL="0" lvl="0" indent="0" algn="l" defTabSz="444500">
            <a:lnSpc>
              <a:spcPct val="90000"/>
            </a:lnSpc>
            <a:spcBef>
              <a:spcPct val="0"/>
            </a:spcBef>
            <a:spcAft>
              <a:spcPct val="35000"/>
            </a:spcAft>
            <a:buNone/>
          </a:pPr>
          <a:r>
            <a:rPr lang="en-US" sz="1000" b="1" kern="1200"/>
            <a:t>Step 6</a:t>
          </a:r>
        </a:p>
        <a:p>
          <a:pPr marL="57150" lvl="1" indent="-57150" algn="l" defTabSz="355600">
            <a:lnSpc>
              <a:spcPct val="90000"/>
            </a:lnSpc>
            <a:spcBef>
              <a:spcPct val="0"/>
            </a:spcBef>
            <a:spcAft>
              <a:spcPct val="15000"/>
            </a:spcAft>
            <a:buChar char="•"/>
          </a:pPr>
          <a:r>
            <a:rPr lang="en-US" sz="800" b="1" kern="1200"/>
            <a:t>System Operations, Maintenance and Evaluation </a:t>
          </a:r>
        </a:p>
      </dsp:txBody>
      <dsp:txXfrm>
        <a:off x="5108933" y="25612"/>
        <a:ext cx="729741" cy="972988"/>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71B41537-7BC0-4A04-BEB0-E3D06D873071}">
      <dsp:nvSpPr>
        <dsp:cNvPr id="0" name=""/>
        <dsp:cNvSpPr/>
      </dsp:nvSpPr>
      <dsp:spPr>
        <a:xfrm>
          <a:off x="738" y="17590"/>
          <a:ext cx="1210419" cy="968335"/>
        </a:xfrm>
        <a:prstGeom prst="homePlate">
          <a:avLst>
            <a:gd name="adj" fmla="val 25000"/>
          </a:avLst>
        </a:prstGeom>
        <a:solidFill>
          <a:schemeClr val="accent2">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42701" tIns="22860" rIns="170804" bIns="22860" numCol="1" spcCol="1270" anchor="t" anchorCtr="0">
          <a:noAutofit/>
        </a:bodyPr>
        <a:lstStyle/>
        <a:p>
          <a:pPr marL="0" lvl="0" indent="0" algn="l" defTabSz="400050">
            <a:lnSpc>
              <a:spcPct val="90000"/>
            </a:lnSpc>
            <a:spcBef>
              <a:spcPct val="0"/>
            </a:spcBef>
            <a:spcAft>
              <a:spcPct val="35000"/>
            </a:spcAft>
            <a:buNone/>
          </a:pPr>
          <a:r>
            <a:rPr lang="en-US" sz="900" b="1" kern="1200"/>
            <a:t>Step 1 </a:t>
          </a:r>
        </a:p>
        <a:p>
          <a:pPr marL="57150" lvl="1" indent="-57150" algn="l" defTabSz="311150">
            <a:lnSpc>
              <a:spcPct val="90000"/>
            </a:lnSpc>
            <a:spcBef>
              <a:spcPct val="0"/>
            </a:spcBef>
            <a:spcAft>
              <a:spcPct val="15000"/>
            </a:spcAft>
            <a:buChar char="•"/>
          </a:pPr>
          <a:r>
            <a:rPr lang="en-US" sz="700" b="1" kern="1200"/>
            <a:t>Assessment of Needs</a:t>
          </a:r>
        </a:p>
      </dsp:txBody>
      <dsp:txXfrm>
        <a:off x="738" y="17590"/>
        <a:ext cx="1089377" cy="968335"/>
      </dsp:txXfrm>
    </dsp:sp>
    <dsp:sp modelId="{BBFD4B6D-84F5-4ADF-B5CE-8754B177FD2A}">
      <dsp:nvSpPr>
        <dsp:cNvPr id="0" name=""/>
        <dsp:cNvSpPr/>
      </dsp:nvSpPr>
      <dsp:spPr>
        <a:xfrm>
          <a:off x="969074" y="17590"/>
          <a:ext cx="1210419" cy="968335"/>
        </a:xfrm>
        <a:prstGeom prst="chevron">
          <a:avLst>
            <a:gd name="adj" fmla="val 25000"/>
          </a:avLst>
        </a:prstGeom>
        <a:solidFill>
          <a:schemeClr val="accent2">
            <a:lumMod val="5000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42701" tIns="22860" rIns="42701" bIns="22860" numCol="1" spcCol="1270" anchor="t" anchorCtr="0">
          <a:noAutofit/>
        </a:bodyPr>
        <a:lstStyle/>
        <a:p>
          <a:pPr marL="0" lvl="0" indent="0" algn="l" defTabSz="400050">
            <a:lnSpc>
              <a:spcPct val="90000"/>
            </a:lnSpc>
            <a:spcBef>
              <a:spcPct val="0"/>
            </a:spcBef>
            <a:spcAft>
              <a:spcPct val="35000"/>
            </a:spcAft>
            <a:buNone/>
          </a:pPr>
          <a:r>
            <a:rPr lang="en-US" sz="900" b="1" kern="1200"/>
            <a:t>Step 2</a:t>
          </a:r>
        </a:p>
        <a:p>
          <a:pPr marL="57150" lvl="1" indent="-57150" algn="l" defTabSz="311150">
            <a:lnSpc>
              <a:spcPct val="90000"/>
            </a:lnSpc>
            <a:spcBef>
              <a:spcPct val="0"/>
            </a:spcBef>
            <a:spcAft>
              <a:spcPct val="15000"/>
            </a:spcAft>
            <a:buChar char="•"/>
          </a:pPr>
          <a:r>
            <a:rPr lang="en-US" sz="700" b="1" kern="1200"/>
            <a:t>Concept Development and Feasibility</a:t>
          </a:r>
        </a:p>
        <a:p>
          <a:pPr marL="114300" lvl="2" indent="-57150" algn="l" defTabSz="311150">
            <a:lnSpc>
              <a:spcPct val="90000"/>
            </a:lnSpc>
            <a:spcBef>
              <a:spcPct val="0"/>
            </a:spcBef>
            <a:spcAft>
              <a:spcPct val="15000"/>
            </a:spcAft>
            <a:buChar char="•"/>
          </a:pPr>
          <a:r>
            <a:rPr lang="en-US" sz="700" b="1" kern="1200"/>
            <a:t>APPLICATION WIZARD</a:t>
          </a:r>
        </a:p>
      </dsp:txBody>
      <dsp:txXfrm>
        <a:off x="1211158" y="17590"/>
        <a:ext cx="726251" cy="968335"/>
      </dsp:txXfrm>
    </dsp:sp>
    <dsp:sp modelId="{D01D49DE-684A-48AE-B439-6B7B11988782}">
      <dsp:nvSpPr>
        <dsp:cNvPr id="0" name=""/>
        <dsp:cNvSpPr/>
      </dsp:nvSpPr>
      <dsp:spPr>
        <a:xfrm>
          <a:off x="1937409" y="17590"/>
          <a:ext cx="1210419" cy="968335"/>
        </a:xfrm>
        <a:prstGeom prst="chevron">
          <a:avLst>
            <a:gd name="adj" fmla="val 25000"/>
          </a:avLst>
        </a:prstGeom>
        <a:solidFill>
          <a:schemeClr val="accent2">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42701" tIns="22860" rIns="42701" bIns="22860" numCol="1" spcCol="1270" anchor="t" anchorCtr="0">
          <a:noAutofit/>
        </a:bodyPr>
        <a:lstStyle/>
        <a:p>
          <a:pPr marL="0" lvl="0" indent="0" algn="l" defTabSz="400050">
            <a:lnSpc>
              <a:spcPct val="90000"/>
            </a:lnSpc>
            <a:spcBef>
              <a:spcPct val="0"/>
            </a:spcBef>
            <a:spcAft>
              <a:spcPct val="35000"/>
            </a:spcAft>
            <a:buNone/>
          </a:pPr>
          <a:r>
            <a:rPr lang="en-US" sz="900" b="1" kern="1200"/>
            <a:t>Step 3</a:t>
          </a:r>
        </a:p>
        <a:p>
          <a:pPr marL="57150" lvl="1" indent="-57150" algn="l" defTabSz="311150">
            <a:lnSpc>
              <a:spcPct val="90000"/>
            </a:lnSpc>
            <a:spcBef>
              <a:spcPct val="0"/>
            </a:spcBef>
            <a:spcAft>
              <a:spcPct val="15000"/>
            </a:spcAft>
            <a:buChar char="•"/>
          </a:pPr>
          <a:r>
            <a:rPr lang="en-US" sz="700" b="1" kern="1200"/>
            <a:t>Detailed System Planning and Design</a:t>
          </a:r>
        </a:p>
      </dsp:txBody>
      <dsp:txXfrm>
        <a:off x="2179493" y="17590"/>
        <a:ext cx="726251" cy="968335"/>
      </dsp:txXfrm>
    </dsp:sp>
    <dsp:sp modelId="{FB9E678D-517B-4064-8BE6-491B9CADBBA1}">
      <dsp:nvSpPr>
        <dsp:cNvPr id="0" name=""/>
        <dsp:cNvSpPr/>
      </dsp:nvSpPr>
      <dsp:spPr>
        <a:xfrm>
          <a:off x="2905744" y="17590"/>
          <a:ext cx="1210419" cy="968335"/>
        </a:xfrm>
        <a:prstGeom prst="chevron">
          <a:avLst>
            <a:gd name="adj" fmla="val 25000"/>
          </a:avLst>
        </a:prstGeom>
        <a:solidFill>
          <a:schemeClr val="accent2">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42701" tIns="22860" rIns="42701" bIns="22860" numCol="1" spcCol="1270" anchor="t" anchorCtr="0">
          <a:noAutofit/>
        </a:bodyPr>
        <a:lstStyle/>
        <a:p>
          <a:pPr marL="0" lvl="0" indent="0" algn="l" defTabSz="400050">
            <a:lnSpc>
              <a:spcPct val="90000"/>
            </a:lnSpc>
            <a:spcBef>
              <a:spcPct val="0"/>
            </a:spcBef>
            <a:spcAft>
              <a:spcPct val="35000"/>
            </a:spcAft>
            <a:buNone/>
          </a:pPr>
          <a:r>
            <a:rPr lang="en-US" sz="900" b="1" kern="1200"/>
            <a:t>Step 4</a:t>
          </a:r>
        </a:p>
        <a:p>
          <a:pPr marL="57150" lvl="1" indent="-57150" algn="l" defTabSz="311150">
            <a:lnSpc>
              <a:spcPct val="90000"/>
            </a:lnSpc>
            <a:spcBef>
              <a:spcPct val="0"/>
            </a:spcBef>
            <a:spcAft>
              <a:spcPct val="15000"/>
            </a:spcAft>
            <a:buChar char="•"/>
          </a:pPr>
          <a:r>
            <a:rPr lang="en-US" sz="700" b="1" kern="1200"/>
            <a:t>Procurement</a:t>
          </a:r>
        </a:p>
      </dsp:txBody>
      <dsp:txXfrm>
        <a:off x="3147828" y="17590"/>
        <a:ext cx="726251" cy="968335"/>
      </dsp:txXfrm>
    </dsp:sp>
    <dsp:sp modelId="{A0E5C641-531F-47C4-8604-720EC38690FD}">
      <dsp:nvSpPr>
        <dsp:cNvPr id="0" name=""/>
        <dsp:cNvSpPr/>
      </dsp:nvSpPr>
      <dsp:spPr>
        <a:xfrm>
          <a:off x="3874079" y="17590"/>
          <a:ext cx="1210419" cy="968335"/>
        </a:xfrm>
        <a:prstGeom prst="chevron">
          <a:avLst>
            <a:gd name="adj" fmla="val 25000"/>
          </a:avLst>
        </a:prstGeom>
        <a:solidFill>
          <a:schemeClr val="accent2">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42701" tIns="22860" rIns="42701" bIns="22860" numCol="1" spcCol="1270" anchor="t" anchorCtr="0">
          <a:noAutofit/>
        </a:bodyPr>
        <a:lstStyle/>
        <a:p>
          <a:pPr marL="0" lvl="0" indent="0" algn="l" defTabSz="400050">
            <a:lnSpc>
              <a:spcPct val="90000"/>
            </a:lnSpc>
            <a:spcBef>
              <a:spcPct val="0"/>
            </a:spcBef>
            <a:spcAft>
              <a:spcPct val="35000"/>
            </a:spcAft>
            <a:buNone/>
          </a:pPr>
          <a:r>
            <a:rPr lang="en-US" sz="900" b="1" kern="1200"/>
            <a:t>Step 5</a:t>
          </a:r>
        </a:p>
        <a:p>
          <a:pPr marL="57150" lvl="1" indent="-57150" algn="l" defTabSz="311150">
            <a:lnSpc>
              <a:spcPct val="90000"/>
            </a:lnSpc>
            <a:spcBef>
              <a:spcPct val="0"/>
            </a:spcBef>
            <a:spcAft>
              <a:spcPct val="15000"/>
            </a:spcAft>
            <a:buChar char="•"/>
          </a:pPr>
          <a:r>
            <a:rPr lang="en-US" sz="700" b="1" kern="1200"/>
            <a:t>System Deployment</a:t>
          </a:r>
        </a:p>
      </dsp:txBody>
      <dsp:txXfrm>
        <a:off x="4116163" y="17590"/>
        <a:ext cx="726251" cy="968335"/>
      </dsp:txXfrm>
    </dsp:sp>
    <dsp:sp modelId="{221DFDEE-AD71-4B36-B382-07D1D7B438BC}">
      <dsp:nvSpPr>
        <dsp:cNvPr id="0" name=""/>
        <dsp:cNvSpPr/>
      </dsp:nvSpPr>
      <dsp:spPr>
        <a:xfrm>
          <a:off x="4842415" y="17590"/>
          <a:ext cx="1210419" cy="968335"/>
        </a:xfrm>
        <a:prstGeom prst="chevron">
          <a:avLst>
            <a:gd name="adj" fmla="val 25000"/>
          </a:avLst>
        </a:prstGeom>
        <a:solidFill>
          <a:schemeClr val="accent2">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42701" tIns="22860" rIns="42701" bIns="22860" numCol="1" spcCol="1270" anchor="t" anchorCtr="0">
          <a:noAutofit/>
        </a:bodyPr>
        <a:lstStyle/>
        <a:p>
          <a:pPr marL="0" lvl="0" indent="0" algn="l" defTabSz="400050">
            <a:lnSpc>
              <a:spcPct val="90000"/>
            </a:lnSpc>
            <a:spcBef>
              <a:spcPct val="0"/>
            </a:spcBef>
            <a:spcAft>
              <a:spcPct val="35000"/>
            </a:spcAft>
            <a:buNone/>
          </a:pPr>
          <a:r>
            <a:rPr lang="en-US" sz="900" b="1" kern="1200"/>
            <a:t>Step 6</a:t>
          </a:r>
        </a:p>
        <a:p>
          <a:pPr marL="57150" lvl="1" indent="-57150" algn="l" defTabSz="311150">
            <a:lnSpc>
              <a:spcPct val="90000"/>
            </a:lnSpc>
            <a:spcBef>
              <a:spcPct val="0"/>
            </a:spcBef>
            <a:spcAft>
              <a:spcPct val="15000"/>
            </a:spcAft>
            <a:buChar char="•"/>
          </a:pPr>
          <a:r>
            <a:rPr lang="en-US" sz="700" b="1" kern="1200"/>
            <a:t>System Operations, Maintenance and Evaluation </a:t>
          </a:r>
        </a:p>
      </dsp:txBody>
      <dsp:txXfrm>
        <a:off x="5084499" y="17590"/>
        <a:ext cx="726251" cy="968335"/>
      </dsp:txXfrm>
    </dsp:sp>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71B41537-7BC0-4A04-BEB0-E3D06D873071}">
      <dsp:nvSpPr>
        <dsp:cNvPr id="0" name=""/>
        <dsp:cNvSpPr/>
      </dsp:nvSpPr>
      <dsp:spPr>
        <a:xfrm>
          <a:off x="743" y="25094"/>
          <a:ext cx="1217529" cy="974023"/>
        </a:xfrm>
        <a:prstGeom prst="homePlate">
          <a:avLst>
            <a:gd name="adj" fmla="val 25000"/>
          </a:avLst>
        </a:prstGeom>
        <a:solidFill>
          <a:schemeClr val="accent2">
            <a:lumMod val="5000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42952" tIns="25400" rIns="171807" bIns="25400" numCol="1" spcCol="1270" anchor="t" anchorCtr="0">
          <a:noAutofit/>
        </a:bodyPr>
        <a:lstStyle/>
        <a:p>
          <a:pPr marL="0" lvl="0" indent="0" algn="l" defTabSz="444500">
            <a:lnSpc>
              <a:spcPct val="90000"/>
            </a:lnSpc>
            <a:spcBef>
              <a:spcPct val="0"/>
            </a:spcBef>
            <a:spcAft>
              <a:spcPct val="35000"/>
            </a:spcAft>
            <a:buNone/>
          </a:pPr>
          <a:r>
            <a:rPr lang="en-US" sz="1000" b="1" kern="1200"/>
            <a:t>Step 1 </a:t>
          </a:r>
        </a:p>
        <a:p>
          <a:pPr marL="57150" lvl="1" indent="-57150" algn="l" defTabSz="355600">
            <a:lnSpc>
              <a:spcPct val="90000"/>
            </a:lnSpc>
            <a:spcBef>
              <a:spcPct val="0"/>
            </a:spcBef>
            <a:spcAft>
              <a:spcPct val="15000"/>
            </a:spcAft>
            <a:buChar char="•"/>
          </a:pPr>
          <a:r>
            <a:rPr lang="en-US" sz="800" b="1" kern="1200"/>
            <a:t>Assessment of Needs</a:t>
          </a:r>
        </a:p>
        <a:p>
          <a:pPr marL="114300" lvl="2" indent="-57150" algn="l" defTabSz="355600">
            <a:lnSpc>
              <a:spcPct val="90000"/>
            </a:lnSpc>
            <a:spcBef>
              <a:spcPct val="0"/>
            </a:spcBef>
            <a:spcAft>
              <a:spcPct val="15000"/>
            </a:spcAft>
            <a:buChar char="•"/>
          </a:pPr>
          <a:r>
            <a:rPr lang="en-US" sz="800" b="1" kern="1200"/>
            <a:t>GOAL WIZARD</a:t>
          </a:r>
        </a:p>
      </dsp:txBody>
      <dsp:txXfrm>
        <a:off x="743" y="25094"/>
        <a:ext cx="1095776" cy="974023"/>
      </dsp:txXfrm>
    </dsp:sp>
    <dsp:sp modelId="{BBFD4B6D-84F5-4ADF-B5CE-8754B177FD2A}">
      <dsp:nvSpPr>
        <dsp:cNvPr id="0" name=""/>
        <dsp:cNvSpPr/>
      </dsp:nvSpPr>
      <dsp:spPr>
        <a:xfrm>
          <a:off x="974766" y="25094"/>
          <a:ext cx="1217529" cy="974023"/>
        </a:xfrm>
        <a:prstGeom prst="chevron">
          <a:avLst>
            <a:gd name="adj" fmla="val 25000"/>
          </a:avLst>
        </a:prstGeom>
        <a:solidFill>
          <a:schemeClr val="accent2"/>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42952" tIns="25400" rIns="42952" bIns="25400" numCol="1" spcCol="1270" anchor="t" anchorCtr="0">
          <a:noAutofit/>
        </a:bodyPr>
        <a:lstStyle/>
        <a:p>
          <a:pPr marL="0" lvl="0" indent="0" algn="l" defTabSz="444500">
            <a:lnSpc>
              <a:spcPct val="90000"/>
            </a:lnSpc>
            <a:spcBef>
              <a:spcPct val="0"/>
            </a:spcBef>
            <a:spcAft>
              <a:spcPct val="35000"/>
            </a:spcAft>
            <a:buNone/>
          </a:pPr>
          <a:r>
            <a:rPr lang="en-US" sz="1000" b="1" kern="1200"/>
            <a:t>Step 2</a:t>
          </a:r>
        </a:p>
        <a:p>
          <a:pPr marL="57150" lvl="1" indent="-57150" algn="l" defTabSz="355600">
            <a:lnSpc>
              <a:spcPct val="90000"/>
            </a:lnSpc>
            <a:spcBef>
              <a:spcPct val="0"/>
            </a:spcBef>
            <a:spcAft>
              <a:spcPct val="15000"/>
            </a:spcAft>
            <a:buChar char="•"/>
          </a:pPr>
          <a:r>
            <a:rPr lang="en-US" sz="800" b="1" kern="1200"/>
            <a:t>Concept Development and Feasibility</a:t>
          </a:r>
        </a:p>
      </dsp:txBody>
      <dsp:txXfrm>
        <a:off x="1218272" y="25094"/>
        <a:ext cx="730517" cy="974023"/>
      </dsp:txXfrm>
    </dsp:sp>
    <dsp:sp modelId="{D01D49DE-684A-48AE-B439-6B7B11988782}">
      <dsp:nvSpPr>
        <dsp:cNvPr id="0" name=""/>
        <dsp:cNvSpPr/>
      </dsp:nvSpPr>
      <dsp:spPr>
        <a:xfrm>
          <a:off x="1948790" y="25094"/>
          <a:ext cx="1217529" cy="974023"/>
        </a:xfrm>
        <a:prstGeom prst="chevron">
          <a:avLst>
            <a:gd name="adj" fmla="val 25000"/>
          </a:avLst>
        </a:prstGeom>
        <a:solidFill>
          <a:schemeClr val="accent2">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42952" tIns="25400" rIns="42952" bIns="25400" numCol="1" spcCol="1270" anchor="t" anchorCtr="0">
          <a:noAutofit/>
        </a:bodyPr>
        <a:lstStyle/>
        <a:p>
          <a:pPr marL="0" lvl="0" indent="0" algn="l" defTabSz="444500">
            <a:lnSpc>
              <a:spcPct val="90000"/>
            </a:lnSpc>
            <a:spcBef>
              <a:spcPct val="0"/>
            </a:spcBef>
            <a:spcAft>
              <a:spcPct val="35000"/>
            </a:spcAft>
            <a:buNone/>
          </a:pPr>
          <a:r>
            <a:rPr lang="en-US" sz="1000" b="1" kern="1200"/>
            <a:t>Step 3</a:t>
          </a:r>
        </a:p>
        <a:p>
          <a:pPr marL="57150" lvl="1" indent="-57150" algn="l" defTabSz="355600">
            <a:lnSpc>
              <a:spcPct val="90000"/>
            </a:lnSpc>
            <a:spcBef>
              <a:spcPct val="0"/>
            </a:spcBef>
            <a:spcAft>
              <a:spcPct val="15000"/>
            </a:spcAft>
            <a:buChar char="•"/>
          </a:pPr>
          <a:r>
            <a:rPr lang="en-US" sz="800" b="1" kern="1200"/>
            <a:t>Detailed System Planning and Design</a:t>
          </a:r>
        </a:p>
      </dsp:txBody>
      <dsp:txXfrm>
        <a:off x="2192296" y="25094"/>
        <a:ext cx="730517" cy="974023"/>
      </dsp:txXfrm>
    </dsp:sp>
    <dsp:sp modelId="{FB9E678D-517B-4064-8BE6-491B9CADBBA1}">
      <dsp:nvSpPr>
        <dsp:cNvPr id="0" name=""/>
        <dsp:cNvSpPr/>
      </dsp:nvSpPr>
      <dsp:spPr>
        <a:xfrm>
          <a:off x="2922813" y="25094"/>
          <a:ext cx="1217529" cy="974023"/>
        </a:xfrm>
        <a:prstGeom prst="chevron">
          <a:avLst>
            <a:gd name="adj" fmla="val 25000"/>
          </a:avLst>
        </a:prstGeom>
        <a:solidFill>
          <a:schemeClr val="accent2">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42952" tIns="25400" rIns="42952" bIns="25400" numCol="1" spcCol="1270" anchor="t" anchorCtr="0">
          <a:noAutofit/>
        </a:bodyPr>
        <a:lstStyle/>
        <a:p>
          <a:pPr marL="0" lvl="0" indent="0" algn="l" defTabSz="444500">
            <a:lnSpc>
              <a:spcPct val="90000"/>
            </a:lnSpc>
            <a:spcBef>
              <a:spcPct val="0"/>
            </a:spcBef>
            <a:spcAft>
              <a:spcPct val="35000"/>
            </a:spcAft>
            <a:buNone/>
          </a:pPr>
          <a:r>
            <a:rPr lang="en-US" sz="1000" b="1" kern="1200"/>
            <a:t>Step 4</a:t>
          </a:r>
        </a:p>
        <a:p>
          <a:pPr marL="57150" lvl="1" indent="-57150" algn="l" defTabSz="355600">
            <a:lnSpc>
              <a:spcPct val="90000"/>
            </a:lnSpc>
            <a:spcBef>
              <a:spcPct val="0"/>
            </a:spcBef>
            <a:spcAft>
              <a:spcPct val="15000"/>
            </a:spcAft>
            <a:buChar char="•"/>
          </a:pPr>
          <a:r>
            <a:rPr lang="en-US" sz="800" b="1" kern="1200"/>
            <a:t>Procurement</a:t>
          </a:r>
        </a:p>
      </dsp:txBody>
      <dsp:txXfrm>
        <a:off x="3166319" y="25094"/>
        <a:ext cx="730517" cy="974023"/>
      </dsp:txXfrm>
    </dsp:sp>
    <dsp:sp modelId="{A0E5C641-531F-47C4-8604-720EC38690FD}">
      <dsp:nvSpPr>
        <dsp:cNvPr id="0" name=""/>
        <dsp:cNvSpPr/>
      </dsp:nvSpPr>
      <dsp:spPr>
        <a:xfrm>
          <a:off x="3896836" y="25094"/>
          <a:ext cx="1217529" cy="974023"/>
        </a:xfrm>
        <a:prstGeom prst="chevron">
          <a:avLst>
            <a:gd name="adj" fmla="val 25000"/>
          </a:avLst>
        </a:prstGeom>
        <a:solidFill>
          <a:schemeClr val="accent2">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42952" tIns="25400" rIns="42952" bIns="25400" numCol="1" spcCol="1270" anchor="t" anchorCtr="0">
          <a:noAutofit/>
        </a:bodyPr>
        <a:lstStyle/>
        <a:p>
          <a:pPr marL="0" lvl="0" indent="0" algn="l" defTabSz="444500">
            <a:lnSpc>
              <a:spcPct val="90000"/>
            </a:lnSpc>
            <a:spcBef>
              <a:spcPct val="0"/>
            </a:spcBef>
            <a:spcAft>
              <a:spcPct val="35000"/>
            </a:spcAft>
            <a:buNone/>
          </a:pPr>
          <a:r>
            <a:rPr lang="en-US" sz="1000" b="1" kern="1200"/>
            <a:t>Step 5</a:t>
          </a:r>
        </a:p>
        <a:p>
          <a:pPr marL="57150" lvl="1" indent="-57150" algn="l" defTabSz="355600">
            <a:lnSpc>
              <a:spcPct val="90000"/>
            </a:lnSpc>
            <a:spcBef>
              <a:spcPct val="0"/>
            </a:spcBef>
            <a:spcAft>
              <a:spcPct val="15000"/>
            </a:spcAft>
            <a:buChar char="•"/>
          </a:pPr>
          <a:r>
            <a:rPr lang="en-US" sz="800" b="1" kern="1200"/>
            <a:t>System Deployment</a:t>
          </a:r>
        </a:p>
      </dsp:txBody>
      <dsp:txXfrm>
        <a:off x="4140342" y="25094"/>
        <a:ext cx="730517" cy="974023"/>
      </dsp:txXfrm>
    </dsp:sp>
    <dsp:sp modelId="{221DFDEE-AD71-4B36-B382-07D1D7B438BC}">
      <dsp:nvSpPr>
        <dsp:cNvPr id="0" name=""/>
        <dsp:cNvSpPr/>
      </dsp:nvSpPr>
      <dsp:spPr>
        <a:xfrm>
          <a:off x="4870860" y="25094"/>
          <a:ext cx="1217529" cy="974023"/>
        </a:xfrm>
        <a:prstGeom prst="chevron">
          <a:avLst>
            <a:gd name="adj" fmla="val 25000"/>
          </a:avLst>
        </a:prstGeom>
        <a:solidFill>
          <a:schemeClr val="accent2">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42952" tIns="25400" rIns="42952" bIns="25400" numCol="1" spcCol="1270" anchor="t" anchorCtr="0">
          <a:noAutofit/>
        </a:bodyPr>
        <a:lstStyle/>
        <a:p>
          <a:pPr marL="0" lvl="0" indent="0" algn="l" defTabSz="444500">
            <a:lnSpc>
              <a:spcPct val="90000"/>
            </a:lnSpc>
            <a:spcBef>
              <a:spcPct val="0"/>
            </a:spcBef>
            <a:spcAft>
              <a:spcPct val="35000"/>
            </a:spcAft>
            <a:buNone/>
          </a:pPr>
          <a:r>
            <a:rPr lang="en-US" sz="1000" b="1" kern="1200"/>
            <a:t>Step 6</a:t>
          </a:r>
        </a:p>
        <a:p>
          <a:pPr marL="57150" lvl="1" indent="-57150" algn="l" defTabSz="355600">
            <a:lnSpc>
              <a:spcPct val="90000"/>
            </a:lnSpc>
            <a:spcBef>
              <a:spcPct val="0"/>
            </a:spcBef>
            <a:spcAft>
              <a:spcPct val="15000"/>
            </a:spcAft>
            <a:buChar char="•"/>
          </a:pPr>
          <a:r>
            <a:rPr lang="en-US" sz="800" b="1" kern="1200"/>
            <a:t>System Operations, Maintenance and Evaluation </a:t>
          </a:r>
        </a:p>
      </dsp:txBody>
      <dsp:txXfrm>
        <a:off x="5114366" y="25094"/>
        <a:ext cx="730517" cy="974023"/>
      </dsp:txXfrm>
    </dsp:sp>
  </dsp:spTree>
</dsp:drawing>
</file>

<file path=xl/diagrams/drawing4.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71B41537-7BC0-4A04-BEB0-E3D06D873071}">
      <dsp:nvSpPr>
        <dsp:cNvPr id="0" name=""/>
        <dsp:cNvSpPr/>
      </dsp:nvSpPr>
      <dsp:spPr>
        <a:xfrm>
          <a:off x="760" y="0"/>
          <a:ext cx="1244954" cy="986113"/>
        </a:xfrm>
        <a:prstGeom prst="homePlate">
          <a:avLst>
            <a:gd name="adj" fmla="val 25000"/>
          </a:avLst>
        </a:prstGeom>
        <a:solidFill>
          <a:schemeClr val="accent2">
            <a:lumMod val="5000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43919" tIns="25400" rIns="175677" bIns="25400" numCol="1" spcCol="1270" anchor="t" anchorCtr="0">
          <a:noAutofit/>
        </a:bodyPr>
        <a:lstStyle/>
        <a:p>
          <a:pPr marL="0" lvl="0" indent="0" algn="l" defTabSz="444500">
            <a:lnSpc>
              <a:spcPct val="90000"/>
            </a:lnSpc>
            <a:spcBef>
              <a:spcPct val="0"/>
            </a:spcBef>
            <a:spcAft>
              <a:spcPct val="35000"/>
            </a:spcAft>
            <a:buNone/>
          </a:pPr>
          <a:r>
            <a:rPr lang="en-US" sz="1000" b="1" kern="1200"/>
            <a:t>Step 1 </a:t>
          </a:r>
        </a:p>
        <a:p>
          <a:pPr marL="57150" lvl="1" indent="-57150" algn="l" defTabSz="355600">
            <a:lnSpc>
              <a:spcPct val="90000"/>
            </a:lnSpc>
            <a:spcBef>
              <a:spcPct val="0"/>
            </a:spcBef>
            <a:spcAft>
              <a:spcPct val="15000"/>
            </a:spcAft>
            <a:buChar char="•"/>
          </a:pPr>
          <a:r>
            <a:rPr lang="en-US" sz="800" b="1" kern="1200"/>
            <a:t>Assessment of Needs</a:t>
          </a:r>
        </a:p>
        <a:p>
          <a:pPr marL="114300" lvl="2" indent="-57150" algn="l" defTabSz="355600">
            <a:lnSpc>
              <a:spcPct val="90000"/>
            </a:lnSpc>
            <a:spcBef>
              <a:spcPct val="0"/>
            </a:spcBef>
            <a:spcAft>
              <a:spcPct val="15000"/>
            </a:spcAft>
            <a:buChar char="•"/>
          </a:pPr>
          <a:r>
            <a:rPr lang="en-US" sz="800" b="1" kern="1200"/>
            <a:t>STAKEHOLDERS WIZARD</a:t>
          </a:r>
        </a:p>
      </dsp:txBody>
      <dsp:txXfrm>
        <a:off x="760" y="0"/>
        <a:ext cx="1121690" cy="986113"/>
      </dsp:txXfrm>
    </dsp:sp>
    <dsp:sp modelId="{BBFD4B6D-84F5-4ADF-B5CE-8754B177FD2A}">
      <dsp:nvSpPr>
        <dsp:cNvPr id="0" name=""/>
        <dsp:cNvSpPr/>
      </dsp:nvSpPr>
      <dsp:spPr>
        <a:xfrm>
          <a:off x="996723" y="0"/>
          <a:ext cx="1244954" cy="986113"/>
        </a:xfrm>
        <a:prstGeom prst="chevron">
          <a:avLst>
            <a:gd name="adj" fmla="val 25000"/>
          </a:avLst>
        </a:prstGeom>
        <a:solidFill>
          <a:schemeClr val="accent2"/>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43919" tIns="25400" rIns="43919" bIns="25400" numCol="1" spcCol="1270" anchor="t" anchorCtr="0">
          <a:noAutofit/>
        </a:bodyPr>
        <a:lstStyle/>
        <a:p>
          <a:pPr marL="0" lvl="0" indent="0" algn="l" defTabSz="444500">
            <a:lnSpc>
              <a:spcPct val="90000"/>
            </a:lnSpc>
            <a:spcBef>
              <a:spcPct val="0"/>
            </a:spcBef>
            <a:spcAft>
              <a:spcPct val="35000"/>
            </a:spcAft>
            <a:buNone/>
          </a:pPr>
          <a:r>
            <a:rPr lang="en-US" sz="1000" b="1" kern="1200"/>
            <a:t>Step 2</a:t>
          </a:r>
        </a:p>
        <a:p>
          <a:pPr marL="57150" lvl="1" indent="-57150" algn="l" defTabSz="355600">
            <a:lnSpc>
              <a:spcPct val="90000"/>
            </a:lnSpc>
            <a:spcBef>
              <a:spcPct val="0"/>
            </a:spcBef>
            <a:spcAft>
              <a:spcPct val="15000"/>
            </a:spcAft>
            <a:buChar char="•"/>
          </a:pPr>
          <a:r>
            <a:rPr lang="en-US" sz="800" b="1" kern="1200"/>
            <a:t>Concept Development and Feasibility</a:t>
          </a:r>
        </a:p>
      </dsp:txBody>
      <dsp:txXfrm>
        <a:off x="1243251" y="0"/>
        <a:ext cx="751898" cy="986113"/>
      </dsp:txXfrm>
    </dsp:sp>
    <dsp:sp modelId="{D01D49DE-684A-48AE-B439-6B7B11988782}">
      <dsp:nvSpPr>
        <dsp:cNvPr id="0" name=""/>
        <dsp:cNvSpPr/>
      </dsp:nvSpPr>
      <dsp:spPr>
        <a:xfrm>
          <a:off x="1992687" y="0"/>
          <a:ext cx="1244954" cy="986113"/>
        </a:xfrm>
        <a:prstGeom prst="chevron">
          <a:avLst>
            <a:gd name="adj" fmla="val 25000"/>
          </a:avLst>
        </a:prstGeom>
        <a:solidFill>
          <a:schemeClr val="accent2">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43919" tIns="25400" rIns="43919" bIns="25400" numCol="1" spcCol="1270" anchor="t" anchorCtr="0">
          <a:noAutofit/>
        </a:bodyPr>
        <a:lstStyle/>
        <a:p>
          <a:pPr marL="0" lvl="0" indent="0" algn="l" defTabSz="444500">
            <a:lnSpc>
              <a:spcPct val="90000"/>
            </a:lnSpc>
            <a:spcBef>
              <a:spcPct val="0"/>
            </a:spcBef>
            <a:spcAft>
              <a:spcPct val="35000"/>
            </a:spcAft>
            <a:buNone/>
          </a:pPr>
          <a:r>
            <a:rPr lang="en-US" sz="1000" b="1" kern="1200"/>
            <a:t>Step 3</a:t>
          </a:r>
        </a:p>
        <a:p>
          <a:pPr marL="57150" lvl="1" indent="-57150" algn="l" defTabSz="355600">
            <a:lnSpc>
              <a:spcPct val="90000"/>
            </a:lnSpc>
            <a:spcBef>
              <a:spcPct val="0"/>
            </a:spcBef>
            <a:spcAft>
              <a:spcPct val="15000"/>
            </a:spcAft>
            <a:buChar char="•"/>
          </a:pPr>
          <a:r>
            <a:rPr lang="en-US" sz="800" b="1" kern="1200"/>
            <a:t>Detailed System Planning and Design</a:t>
          </a:r>
        </a:p>
      </dsp:txBody>
      <dsp:txXfrm>
        <a:off x="2239215" y="0"/>
        <a:ext cx="751898" cy="986113"/>
      </dsp:txXfrm>
    </dsp:sp>
    <dsp:sp modelId="{FB9E678D-517B-4064-8BE6-491B9CADBBA1}">
      <dsp:nvSpPr>
        <dsp:cNvPr id="0" name=""/>
        <dsp:cNvSpPr/>
      </dsp:nvSpPr>
      <dsp:spPr>
        <a:xfrm>
          <a:off x="2988651" y="0"/>
          <a:ext cx="1244954" cy="986113"/>
        </a:xfrm>
        <a:prstGeom prst="chevron">
          <a:avLst>
            <a:gd name="adj" fmla="val 25000"/>
          </a:avLst>
        </a:prstGeom>
        <a:solidFill>
          <a:schemeClr val="accent2">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43919" tIns="25400" rIns="43919" bIns="25400" numCol="1" spcCol="1270" anchor="t" anchorCtr="0">
          <a:noAutofit/>
        </a:bodyPr>
        <a:lstStyle/>
        <a:p>
          <a:pPr marL="0" lvl="0" indent="0" algn="l" defTabSz="444500">
            <a:lnSpc>
              <a:spcPct val="90000"/>
            </a:lnSpc>
            <a:spcBef>
              <a:spcPct val="0"/>
            </a:spcBef>
            <a:spcAft>
              <a:spcPct val="35000"/>
            </a:spcAft>
            <a:buNone/>
          </a:pPr>
          <a:r>
            <a:rPr lang="en-US" sz="1000" b="1" kern="1200"/>
            <a:t>Step 4</a:t>
          </a:r>
        </a:p>
        <a:p>
          <a:pPr marL="57150" lvl="1" indent="-57150" algn="l" defTabSz="355600">
            <a:lnSpc>
              <a:spcPct val="90000"/>
            </a:lnSpc>
            <a:spcBef>
              <a:spcPct val="0"/>
            </a:spcBef>
            <a:spcAft>
              <a:spcPct val="15000"/>
            </a:spcAft>
            <a:buChar char="•"/>
          </a:pPr>
          <a:r>
            <a:rPr lang="en-US" sz="800" b="1" kern="1200"/>
            <a:t>Procurement</a:t>
          </a:r>
        </a:p>
      </dsp:txBody>
      <dsp:txXfrm>
        <a:off x="3235179" y="0"/>
        <a:ext cx="751898" cy="986113"/>
      </dsp:txXfrm>
    </dsp:sp>
    <dsp:sp modelId="{A0E5C641-531F-47C4-8604-720EC38690FD}">
      <dsp:nvSpPr>
        <dsp:cNvPr id="0" name=""/>
        <dsp:cNvSpPr/>
      </dsp:nvSpPr>
      <dsp:spPr>
        <a:xfrm>
          <a:off x="3984614" y="0"/>
          <a:ext cx="1244954" cy="986113"/>
        </a:xfrm>
        <a:prstGeom prst="chevron">
          <a:avLst>
            <a:gd name="adj" fmla="val 25000"/>
          </a:avLst>
        </a:prstGeom>
        <a:solidFill>
          <a:schemeClr val="accent2">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43919" tIns="25400" rIns="43919" bIns="25400" numCol="1" spcCol="1270" anchor="t" anchorCtr="0">
          <a:noAutofit/>
        </a:bodyPr>
        <a:lstStyle/>
        <a:p>
          <a:pPr marL="0" lvl="0" indent="0" algn="l" defTabSz="444500">
            <a:lnSpc>
              <a:spcPct val="90000"/>
            </a:lnSpc>
            <a:spcBef>
              <a:spcPct val="0"/>
            </a:spcBef>
            <a:spcAft>
              <a:spcPct val="35000"/>
            </a:spcAft>
            <a:buNone/>
          </a:pPr>
          <a:r>
            <a:rPr lang="en-US" sz="1000" b="1" kern="1200"/>
            <a:t>Step 5</a:t>
          </a:r>
        </a:p>
        <a:p>
          <a:pPr marL="57150" lvl="1" indent="-57150" algn="l" defTabSz="355600">
            <a:lnSpc>
              <a:spcPct val="90000"/>
            </a:lnSpc>
            <a:spcBef>
              <a:spcPct val="0"/>
            </a:spcBef>
            <a:spcAft>
              <a:spcPct val="15000"/>
            </a:spcAft>
            <a:buChar char="•"/>
          </a:pPr>
          <a:r>
            <a:rPr lang="en-US" sz="800" b="1" kern="1200"/>
            <a:t>System Deployment</a:t>
          </a:r>
        </a:p>
      </dsp:txBody>
      <dsp:txXfrm>
        <a:off x="4231142" y="0"/>
        <a:ext cx="751898" cy="986113"/>
      </dsp:txXfrm>
    </dsp:sp>
    <dsp:sp modelId="{221DFDEE-AD71-4B36-B382-07D1D7B438BC}">
      <dsp:nvSpPr>
        <dsp:cNvPr id="0" name=""/>
        <dsp:cNvSpPr/>
      </dsp:nvSpPr>
      <dsp:spPr>
        <a:xfrm>
          <a:off x="4980578" y="0"/>
          <a:ext cx="1244954" cy="986113"/>
        </a:xfrm>
        <a:prstGeom prst="chevron">
          <a:avLst>
            <a:gd name="adj" fmla="val 25000"/>
          </a:avLst>
        </a:prstGeom>
        <a:solidFill>
          <a:schemeClr val="accent2">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43919" tIns="25400" rIns="43919" bIns="25400" numCol="1" spcCol="1270" anchor="t" anchorCtr="0">
          <a:noAutofit/>
        </a:bodyPr>
        <a:lstStyle/>
        <a:p>
          <a:pPr marL="0" lvl="0" indent="0" algn="l" defTabSz="444500">
            <a:lnSpc>
              <a:spcPct val="90000"/>
            </a:lnSpc>
            <a:spcBef>
              <a:spcPct val="0"/>
            </a:spcBef>
            <a:spcAft>
              <a:spcPct val="35000"/>
            </a:spcAft>
            <a:buNone/>
          </a:pPr>
          <a:r>
            <a:rPr lang="en-US" sz="1000" b="1" kern="1200"/>
            <a:t>Step 6</a:t>
          </a:r>
        </a:p>
        <a:p>
          <a:pPr marL="57150" lvl="1" indent="-57150" algn="l" defTabSz="355600">
            <a:lnSpc>
              <a:spcPct val="90000"/>
            </a:lnSpc>
            <a:spcBef>
              <a:spcPct val="0"/>
            </a:spcBef>
            <a:spcAft>
              <a:spcPct val="15000"/>
            </a:spcAft>
            <a:buChar char="•"/>
          </a:pPr>
          <a:r>
            <a:rPr lang="en-US" sz="800" b="1" kern="1200"/>
            <a:t>System Operations, Maintenance and Evaluation </a:t>
          </a:r>
        </a:p>
      </dsp:txBody>
      <dsp:txXfrm>
        <a:off x="5227106" y="0"/>
        <a:ext cx="751898" cy="986113"/>
      </dsp:txXfrm>
    </dsp:sp>
  </dsp:spTree>
</dsp:drawing>
</file>

<file path=xl/diagrams/layout1.xml><?xml version="1.0" encoding="utf-8"?>
<dgm:layoutDef xmlns:dgm="http://schemas.openxmlformats.org/drawingml/2006/diagram" xmlns:a="http://schemas.openxmlformats.org/drawingml/2006/main" uniqueId="urn:microsoft.com/office/officeart/2005/8/layout/hChevron3">
  <dgm:title val=""/>
  <dgm:desc val=""/>
  <dgm:catLst>
    <dgm:cat type="process" pri="10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hoose name="Name4">
      <dgm:if name="Name5" axis="root des" func="maxDepth" op="gte" val="2">
        <dgm:constrLst>
          <dgm:constr type="w" for="ch" forName="parAndChTx" refType="w"/>
          <dgm:constr type="primFontSz" for="ch" ptType="node" op="equ"/>
          <dgm:constr type="w" for="ch" forName="parAndChSpace" refType="w" refFor="ch" refForName="parAndChTx" fact="-0.2"/>
          <dgm:constr type="w" for="ch" ptType="sibTrans" op="equ"/>
        </dgm:constrLst>
        <dgm:ruleLst/>
        <dgm:forEach name="Name6" axis="ch" ptType="node">
          <dgm:layoutNode name="parAndChTx">
            <dgm:varLst>
              <dgm:bulletEnabled val="1"/>
            </dgm:varLst>
            <dgm:alg type="tx"/>
            <dgm:choose name="Name7">
              <dgm:if name="Name8" func="var" arg="dir" op="equ" val="norm">
                <dgm:choose name="Name9">
                  <dgm:if name="Name10" axis="self" ptType="node" func="pos" op="equ" val="1">
                    <dgm:shape xmlns:r="http://schemas.openxmlformats.org/officeDocument/2006/relationships" type="homePlate"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4"/>
                    </dgm:constrLst>
                  </dgm:if>
                  <dgm:else name="Name11">
                    <dgm:shape xmlns:r="http://schemas.openxmlformats.org/officeDocument/2006/relationships" type="chevron"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1"/>
                    </dgm:constrLst>
                  </dgm:else>
                </dgm:choose>
              </dgm:if>
              <dgm:else name="Name12">
                <dgm:choose name="Name13">
                  <dgm:if name="Name14" axis="self" ptType="node" func="pos" op="equ" val="1">
                    <dgm:shape xmlns:r="http://schemas.openxmlformats.org/officeDocument/2006/relationships" rot="180" type="homePlate"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4"/>
                      <dgm:constr type="rMarg" refType="w" fact="0.1"/>
                    </dgm:constrLst>
                  </dgm:if>
                  <dgm:else name="Name15">
                    <dgm:shape xmlns:r="http://schemas.openxmlformats.org/officeDocument/2006/relationships" rot="180" type="chevron"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1"/>
                    </dgm:constrLst>
                  </dgm:else>
                </dgm:choose>
              </dgm:else>
            </dgm:choose>
            <dgm:ruleLst>
              <dgm:rule type="primFontSz" val="5" fact="NaN" max="NaN"/>
            </dgm:ruleLst>
          </dgm:layoutNode>
          <dgm:forEach name="Name16" axis="followSib" ptType="sibTrans" cnt="1">
            <dgm:layoutNode name="parAndChSpace">
              <dgm:alg type="sp"/>
              <dgm:shape xmlns:r="http://schemas.openxmlformats.org/officeDocument/2006/relationships" r:blip="">
                <dgm:adjLst/>
              </dgm:shape>
              <dgm:presOf/>
              <dgm:constrLst/>
              <dgm:ruleLst/>
            </dgm:layoutNode>
          </dgm:forEach>
        </dgm:forEach>
      </dgm:if>
      <dgm:else name="Name17">
        <dgm:constrLst>
          <dgm:constr type="w" for="ch" forName="parTxOnly" refType="w"/>
          <dgm:constr type="primFontSz" for="ch" ptType="node" op="equ"/>
          <dgm:constr type="w" for="ch" forName="parSpace" refType="w" refFor="ch" refForName="parTxOnly" fact="-0.2"/>
          <dgm:constr type="w" for="ch" ptType="sibTrans" op="equ"/>
        </dgm:constrLst>
        <dgm:ruleLst/>
        <dgm:forEach name="Name18" axis="ch" ptType="node">
          <dgm:layoutNode name="parTxOnly">
            <dgm:varLst>
              <dgm:bulletEnabled val="1"/>
            </dgm:varLst>
            <dgm:alg type="tx"/>
            <dgm:presOf axis="desOrSelf" ptType="node"/>
            <dgm:choose name="Name19">
              <dgm:if name="Name20" func="var" arg="dir" op="equ" val="norm">
                <dgm:choose name="Name21">
                  <dgm:if name="Name22" axis="self" ptType="node" func="pos" op="equ" val="1">
                    <dgm:shape xmlns:r="http://schemas.openxmlformats.org/officeDocument/2006/relationships" type="homePlate" r:blip="">
                      <dgm:adjLst/>
                    </dgm:shape>
                    <dgm:constrLst>
                      <dgm:constr type="h" refType="w" op="equ" fact="0.4"/>
                      <dgm:constr type="primFontSz" val="65"/>
                      <dgm:constr type="tMarg" refType="primFontSz" fact="0.21"/>
                      <dgm:constr type="bMarg" refType="primFontSz" fact="0.21"/>
                      <dgm:constr type="lMarg" refType="primFontSz" fact="0.42"/>
                      <dgm:constr type="rMarg" refType="primFontSz" fact="0.105"/>
                    </dgm:constrLst>
                  </dgm:if>
                  <dgm:else name="Name23">
                    <dgm:shape xmlns:r="http://schemas.openxmlformats.org/officeDocument/2006/relationships" type="chevron" r:blip="">
                      <dgm:adjLst/>
                    </dgm:shape>
                    <dgm:constrLst>
                      <dgm:constr type="h" refType="w" op="equ" fact="0.4"/>
                      <dgm:constr type="primFontSz" val="65"/>
                      <dgm:constr type="tMarg" refType="primFontSz" fact="0.21"/>
                      <dgm:constr type="bMarg" refType="primFontSz" fact="0.21"/>
                      <dgm:constr type="lMarg" refType="primFontSz" fact="0.315"/>
                      <dgm:constr type="rMarg" refType="primFontSz" fact="0.105"/>
                    </dgm:constrLst>
                  </dgm:else>
                </dgm:choose>
              </dgm:if>
              <dgm:else name="Name24">
                <dgm:choose name="Name25">
                  <dgm:if name="Name26" axis="self" ptType="node" func="pos" op="equ" val="1">
                    <dgm:shape xmlns:r="http://schemas.openxmlformats.org/officeDocument/2006/relationships" rot="180" type="homePlate" r:blip="">
                      <dgm:adjLst/>
                    </dgm:shape>
                    <dgm:constrLst>
                      <dgm:constr type="h" refType="w" op="equ" fact="0.4"/>
                      <dgm:constr type="primFontSz" val="65"/>
                      <dgm:constr type="tMarg" refType="primFontSz" fact="0.21"/>
                      <dgm:constr type="bMarg" refType="primFontSz" fact="0.21"/>
                      <dgm:constr type="lMarg" refType="primFontSz" fact="0.105"/>
                      <dgm:constr type="rMarg" refType="primFontSz" fact="0.42"/>
                    </dgm:constrLst>
                  </dgm:if>
                  <dgm:else name="Name27">
                    <dgm:shape xmlns:r="http://schemas.openxmlformats.org/officeDocument/2006/relationships" rot="180" type="chevron" r:blip="">
                      <dgm:adjLst/>
                    </dgm:shape>
                    <dgm:constrLst>
                      <dgm:constr type="h" refType="w" op="equ" fact="0.4"/>
                      <dgm:constr type="primFontSz" val="65"/>
                      <dgm:constr type="tMarg" refType="primFontSz" fact="0.21"/>
                      <dgm:constr type="bMarg" refType="primFontSz" fact="0.21"/>
                      <dgm:constr type="lMarg" refType="primFontSz" fact="0.105"/>
                      <dgm:constr type="rMarg" refType="primFontSz" fact="0.315"/>
                    </dgm:constrLst>
                  </dgm:else>
                </dgm:choose>
              </dgm:else>
            </dgm:choose>
            <dgm:ruleLst>
              <dgm:rule type="primFontSz" val="5" fact="NaN" max="NaN"/>
            </dgm:ruleLst>
          </dgm:layoutNode>
          <dgm:forEach name="Name28" axis="followSib" ptType="sibTrans" cnt="1">
            <dgm:layoutNode name="parSpace">
              <dgm:alg type="sp"/>
              <dgm:shape xmlns:r="http://schemas.openxmlformats.org/officeDocument/2006/relationships" r:blip="">
                <dgm:adjLst/>
              </dgm:shape>
              <dgm:presOf/>
              <dgm:constrLst/>
              <dgm:ruleLst/>
            </dgm:layoutNode>
          </dgm:forEach>
        </dgm:forEach>
      </dgm:else>
    </dgm:choose>
  </dgm:layoutNode>
</dgm:layoutDef>
</file>

<file path=xl/diagrams/layout2.xml><?xml version="1.0" encoding="utf-8"?>
<dgm:layoutDef xmlns:dgm="http://schemas.openxmlformats.org/drawingml/2006/diagram" xmlns:a="http://schemas.openxmlformats.org/drawingml/2006/main" uniqueId="urn:microsoft.com/office/officeart/2005/8/layout/hChevron3">
  <dgm:title val=""/>
  <dgm:desc val=""/>
  <dgm:catLst>
    <dgm:cat type="process" pri="10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hoose name="Name4">
      <dgm:if name="Name5" axis="root des" func="maxDepth" op="gte" val="2">
        <dgm:constrLst>
          <dgm:constr type="w" for="ch" forName="parAndChTx" refType="w"/>
          <dgm:constr type="primFontSz" for="ch" ptType="node" op="equ"/>
          <dgm:constr type="w" for="ch" forName="parAndChSpace" refType="w" refFor="ch" refForName="parAndChTx" fact="-0.2"/>
          <dgm:constr type="w" for="ch" ptType="sibTrans" op="equ"/>
        </dgm:constrLst>
        <dgm:ruleLst/>
        <dgm:forEach name="Name6" axis="ch" ptType="node">
          <dgm:layoutNode name="parAndChTx">
            <dgm:varLst>
              <dgm:bulletEnabled val="1"/>
            </dgm:varLst>
            <dgm:alg type="tx"/>
            <dgm:choose name="Name7">
              <dgm:if name="Name8" func="var" arg="dir" op="equ" val="norm">
                <dgm:choose name="Name9">
                  <dgm:if name="Name10" axis="self" ptType="node" func="pos" op="equ" val="1">
                    <dgm:shape xmlns:r="http://schemas.openxmlformats.org/officeDocument/2006/relationships" type="homePlate"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4"/>
                    </dgm:constrLst>
                  </dgm:if>
                  <dgm:else name="Name11">
                    <dgm:shape xmlns:r="http://schemas.openxmlformats.org/officeDocument/2006/relationships" type="chevron"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1"/>
                    </dgm:constrLst>
                  </dgm:else>
                </dgm:choose>
              </dgm:if>
              <dgm:else name="Name12">
                <dgm:choose name="Name13">
                  <dgm:if name="Name14" axis="self" ptType="node" func="pos" op="equ" val="1">
                    <dgm:shape xmlns:r="http://schemas.openxmlformats.org/officeDocument/2006/relationships" rot="180" type="homePlate"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4"/>
                      <dgm:constr type="rMarg" refType="w" fact="0.1"/>
                    </dgm:constrLst>
                  </dgm:if>
                  <dgm:else name="Name15">
                    <dgm:shape xmlns:r="http://schemas.openxmlformats.org/officeDocument/2006/relationships" rot="180" type="chevron"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1"/>
                    </dgm:constrLst>
                  </dgm:else>
                </dgm:choose>
              </dgm:else>
            </dgm:choose>
            <dgm:ruleLst>
              <dgm:rule type="primFontSz" val="5" fact="NaN" max="NaN"/>
            </dgm:ruleLst>
          </dgm:layoutNode>
          <dgm:forEach name="Name16" axis="followSib" ptType="sibTrans" cnt="1">
            <dgm:layoutNode name="parAndChSpace">
              <dgm:alg type="sp"/>
              <dgm:shape xmlns:r="http://schemas.openxmlformats.org/officeDocument/2006/relationships" r:blip="">
                <dgm:adjLst/>
              </dgm:shape>
              <dgm:presOf/>
              <dgm:constrLst/>
              <dgm:ruleLst/>
            </dgm:layoutNode>
          </dgm:forEach>
        </dgm:forEach>
      </dgm:if>
      <dgm:else name="Name17">
        <dgm:constrLst>
          <dgm:constr type="w" for="ch" forName="parTxOnly" refType="w"/>
          <dgm:constr type="primFontSz" for="ch" ptType="node" op="equ"/>
          <dgm:constr type="w" for="ch" forName="parSpace" refType="w" refFor="ch" refForName="parTxOnly" fact="-0.2"/>
          <dgm:constr type="w" for="ch" ptType="sibTrans" op="equ"/>
        </dgm:constrLst>
        <dgm:ruleLst/>
        <dgm:forEach name="Name18" axis="ch" ptType="node">
          <dgm:layoutNode name="parTxOnly">
            <dgm:varLst>
              <dgm:bulletEnabled val="1"/>
            </dgm:varLst>
            <dgm:alg type="tx"/>
            <dgm:presOf axis="desOrSelf" ptType="node"/>
            <dgm:choose name="Name19">
              <dgm:if name="Name20" func="var" arg="dir" op="equ" val="norm">
                <dgm:choose name="Name21">
                  <dgm:if name="Name22" axis="self" ptType="node" func="pos" op="equ" val="1">
                    <dgm:shape xmlns:r="http://schemas.openxmlformats.org/officeDocument/2006/relationships" type="homePlate" r:blip="">
                      <dgm:adjLst/>
                    </dgm:shape>
                    <dgm:constrLst>
                      <dgm:constr type="h" refType="w" op="equ" fact="0.4"/>
                      <dgm:constr type="primFontSz" val="65"/>
                      <dgm:constr type="tMarg" refType="primFontSz" fact="0.21"/>
                      <dgm:constr type="bMarg" refType="primFontSz" fact="0.21"/>
                      <dgm:constr type="lMarg" refType="primFontSz" fact="0.42"/>
                      <dgm:constr type="rMarg" refType="primFontSz" fact="0.105"/>
                    </dgm:constrLst>
                  </dgm:if>
                  <dgm:else name="Name23">
                    <dgm:shape xmlns:r="http://schemas.openxmlformats.org/officeDocument/2006/relationships" type="chevron" r:blip="">
                      <dgm:adjLst/>
                    </dgm:shape>
                    <dgm:constrLst>
                      <dgm:constr type="h" refType="w" op="equ" fact="0.4"/>
                      <dgm:constr type="primFontSz" val="65"/>
                      <dgm:constr type="tMarg" refType="primFontSz" fact="0.21"/>
                      <dgm:constr type="bMarg" refType="primFontSz" fact="0.21"/>
                      <dgm:constr type="lMarg" refType="primFontSz" fact="0.315"/>
                      <dgm:constr type="rMarg" refType="primFontSz" fact="0.105"/>
                    </dgm:constrLst>
                  </dgm:else>
                </dgm:choose>
              </dgm:if>
              <dgm:else name="Name24">
                <dgm:choose name="Name25">
                  <dgm:if name="Name26" axis="self" ptType="node" func="pos" op="equ" val="1">
                    <dgm:shape xmlns:r="http://schemas.openxmlformats.org/officeDocument/2006/relationships" rot="180" type="homePlate" r:blip="">
                      <dgm:adjLst/>
                    </dgm:shape>
                    <dgm:constrLst>
                      <dgm:constr type="h" refType="w" op="equ" fact="0.4"/>
                      <dgm:constr type="primFontSz" val="65"/>
                      <dgm:constr type="tMarg" refType="primFontSz" fact="0.21"/>
                      <dgm:constr type="bMarg" refType="primFontSz" fact="0.21"/>
                      <dgm:constr type="lMarg" refType="primFontSz" fact="0.105"/>
                      <dgm:constr type="rMarg" refType="primFontSz" fact="0.42"/>
                    </dgm:constrLst>
                  </dgm:if>
                  <dgm:else name="Name27">
                    <dgm:shape xmlns:r="http://schemas.openxmlformats.org/officeDocument/2006/relationships" rot="180" type="chevron" r:blip="">
                      <dgm:adjLst/>
                    </dgm:shape>
                    <dgm:constrLst>
                      <dgm:constr type="h" refType="w" op="equ" fact="0.4"/>
                      <dgm:constr type="primFontSz" val="65"/>
                      <dgm:constr type="tMarg" refType="primFontSz" fact="0.21"/>
                      <dgm:constr type="bMarg" refType="primFontSz" fact="0.21"/>
                      <dgm:constr type="lMarg" refType="primFontSz" fact="0.105"/>
                      <dgm:constr type="rMarg" refType="primFontSz" fact="0.315"/>
                    </dgm:constrLst>
                  </dgm:else>
                </dgm:choose>
              </dgm:else>
            </dgm:choose>
            <dgm:ruleLst>
              <dgm:rule type="primFontSz" val="5" fact="NaN" max="NaN"/>
            </dgm:ruleLst>
          </dgm:layoutNode>
          <dgm:forEach name="Name28" axis="followSib" ptType="sibTrans" cnt="1">
            <dgm:layoutNode name="parSpace">
              <dgm:alg type="sp"/>
              <dgm:shape xmlns:r="http://schemas.openxmlformats.org/officeDocument/2006/relationships" r:blip="">
                <dgm:adjLst/>
              </dgm:shape>
              <dgm:presOf/>
              <dgm:constrLst/>
              <dgm:ruleLst/>
            </dgm:layoutNode>
          </dgm:forEach>
        </dgm:forEach>
      </dgm:else>
    </dgm:choose>
  </dgm:layoutNode>
</dgm:layoutDef>
</file>

<file path=xl/diagrams/layout3.xml><?xml version="1.0" encoding="utf-8"?>
<dgm:layoutDef xmlns:dgm="http://schemas.openxmlformats.org/drawingml/2006/diagram" xmlns:a="http://schemas.openxmlformats.org/drawingml/2006/main" uniqueId="urn:microsoft.com/office/officeart/2005/8/layout/hChevron3">
  <dgm:title val=""/>
  <dgm:desc val=""/>
  <dgm:catLst>
    <dgm:cat type="process" pri="10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hoose name="Name4">
      <dgm:if name="Name5" axis="root des" func="maxDepth" op="gte" val="2">
        <dgm:constrLst>
          <dgm:constr type="w" for="ch" forName="parAndChTx" refType="w"/>
          <dgm:constr type="primFontSz" for="ch" ptType="node" op="equ"/>
          <dgm:constr type="w" for="ch" forName="parAndChSpace" refType="w" refFor="ch" refForName="parAndChTx" fact="-0.2"/>
          <dgm:constr type="w" for="ch" ptType="sibTrans" op="equ"/>
        </dgm:constrLst>
        <dgm:ruleLst/>
        <dgm:forEach name="Name6" axis="ch" ptType="node">
          <dgm:layoutNode name="parAndChTx">
            <dgm:varLst>
              <dgm:bulletEnabled val="1"/>
            </dgm:varLst>
            <dgm:alg type="tx"/>
            <dgm:choose name="Name7">
              <dgm:if name="Name8" func="var" arg="dir" op="equ" val="norm">
                <dgm:choose name="Name9">
                  <dgm:if name="Name10" axis="self" ptType="node" func="pos" op="equ" val="1">
                    <dgm:shape xmlns:r="http://schemas.openxmlformats.org/officeDocument/2006/relationships" type="homePlate"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4"/>
                    </dgm:constrLst>
                  </dgm:if>
                  <dgm:else name="Name11">
                    <dgm:shape xmlns:r="http://schemas.openxmlformats.org/officeDocument/2006/relationships" type="chevron"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1"/>
                    </dgm:constrLst>
                  </dgm:else>
                </dgm:choose>
              </dgm:if>
              <dgm:else name="Name12">
                <dgm:choose name="Name13">
                  <dgm:if name="Name14" axis="self" ptType="node" func="pos" op="equ" val="1">
                    <dgm:shape xmlns:r="http://schemas.openxmlformats.org/officeDocument/2006/relationships" rot="180" type="homePlate"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4"/>
                      <dgm:constr type="rMarg" refType="w" fact="0.1"/>
                    </dgm:constrLst>
                  </dgm:if>
                  <dgm:else name="Name15">
                    <dgm:shape xmlns:r="http://schemas.openxmlformats.org/officeDocument/2006/relationships" rot="180" type="chevron"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1"/>
                    </dgm:constrLst>
                  </dgm:else>
                </dgm:choose>
              </dgm:else>
            </dgm:choose>
            <dgm:ruleLst>
              <dgm:rule type="primFontSz" val="5" fact="NaN" max="NaN"/>
            </dgm:ruleLst>
          </dgm:layoutNode>
          <dgm:forEach name="Name16" axis="followSib" ptType="sibTrans" cnt="1">
            <dgm:layoutNode name="parAndChSpace">
              <dgm:alg type="sp"/>
              <dgm:shape xmlns:r="http://schemas.openxmlformats.org/officeDocument/2006/relationships" r:blip="">
                <dgm:adjLst/>
              </dgm:shape>
              <dgm:presOf/>
              <dgm:constrLst/>
              <dgm:ruleLst/>
            </dgm:layoutNode>
          </dgm:forEach>
        </dgm:forEach>
      </dgm:if>
      <dgm:else name="Name17">
        <dgm:constrLst>
          <dgm:constr type="w" for="ch" forName="parTxOnly" refType="w"/>
          <dgm:constr type="primFontSz" for="ch" ptType="node" op="equ"/>
          <dgm:constr type="w" for="ch" forName="parSpace" refType="w" refFor="ch" refForName="parTxOnly" fact="-0.2"/>
          <dgm:constr type="w" for="ch" ptType="sibTrans" op="equ"/>
        </dgm:constrLst>
        <dgm:ruleLst/>
        <dgm:forEach name="Name18" axis="ch" ptType="node">
          <dgm:layoutNode name="parTxOnly">
            <dgm:varLst>
              <dgm:bulletEnabled val="1"/>
            </dgm:varLst>
            <dgm:alg type="tx"/>
            <dgm:presOf axis="desOrSelf" ptType="node"/>
            <dgm:choose name="Name19">
              <dgm:if name="Name20" func="var" arg="dir" op="equ" val="norm">
                <dgm:choose name="Name21">
                  <dgm:if name="Name22" axis="self" ptType="node" func="pos" op="equ" val="1">
                    <dgm:shape xmlns:r="http://schemas.openxmlformats.org/officeDocument/2006/relationships" type="homePlate" r:blip="">
                      <dgm:adjLst/>
                    </dgm:shape>
                    <dgm:constrLst>
                      <dgm:constr type="h" refType="w" op="equ" fact="0.4"/>
                      <dgm:constr type="primFontSz" val="65"/>
                      <dgm:constr type="tMarg" refType="primFontSz" fact="0.21"/>
                      <dgm:constr type="bMarg" refType="primFontSz" fact="0.21"/>
                      <dgm:constr type="lMarg" refType="primFontSz" fact="0.42"/>
                      <dgm:constr type="rMarg" refType="primFontSz" fact="0.105"/>
                    </dgm:constrLst>
                  </dgm:if>
                  <dgm:else name="Name23">
                    <dgm:shape xmlns:r="http://schemas.openxmlformats.org/officeDocument/2006/relationships" type="chevron" r:blip="">
                      <dgm:adjLst/>
                    </dgm:shape>
                    <dgm:constrLst>
                      <dgm:constr type="h" refType="w" op="equ" fact="0.4"/>
                      <dgm:constr type="primFontSz" val="65"/>
                      <dgm:constr type="tMarg" refType="primFontSz" fact="0.21"/>
                      <dgm:constr type="bMarg" refType="primFontSz" fact="0.21"/>
                      <dgm:constr type="lMarg" refType="primFontSz" fact="0.315"/>
                      <dgm:constr type="rMarg" refType="primFontSz" fact="0.105"/>
                    </dgm:constrLst>
                  </dgm:else>
                </dgm:choose>
              </dgm:if>
              <dgm:else name="Name24">
                <dgm:choose name="Name25">
                  <dgm:if name="Name26" axis="self" ptType="node" func="pos" op="equ" val="1">
                    <dgm:shape xmlns:r="http://schemas.openxmlformats.org/officeDocument/2006/relationships" rot="180" type="homePlate" r:blip="">
                      <dgm:adjLst/>
                    </dgm:shape>
                    <dgm:constrLst>
                      <dgm:constr type="h" refType="w" op="equ" fact="0.4"/>
                      <dgm:constr type="primFontSz" val="65"/>
                      <dgm:constr type="tMarg" refType="primFontSz" fact="0.21"/>
                      <dgm:constr type="bMarg" refType="primFontSz" fact="0.21"/>
                      <dgm:constr type="lMarg" refType="primFontSz" fact="0.105"/>
                      <dgm:constr type="rMarg" refType="primFontSz" fact="0.42"/>
                    </dgm:constrLst>
                  </dgm:if>
                  <dgm:else name="Name27">
                    <dgm:shape xmlns:r="http://schemas.openxmlformats.org/officeDocument/2006/relationships" rot="180" type="chevron" r:blip="">
                      <dgm:adjLst/>
                    </dgm:shape>
                    <dgm:constrLst>
                      <dgm:constr type="h" refType="w" op="equ" fact="0.4"/>
                      <dgm:constr type="primFontSz" val="65"/>
                      <dgm:constr type="tMarg" refType="primFontSz" fact="0.21"/>
                      <dgm:constr type="bMarg" refType="primFontSz" fact="0.21"/>
                      <dgm:constr type="lMarg" refType="primFontSz" fact="0.105"/>
                      <dgm:constr type="rMarg" refType="primFontSz" fact="0.315"/>
                    </dgm:constrLst>
                  </dgm:else>
                </dgm:choose>
              </dgm:else>
            </dgm:choose>
            <dgm:ruleLst>
              <dgm:rule type="primFontSz" val="5" fact="NaN" max="NaN"/>
            </dgm:ruleLst>
          </dgm:layoutNode>
          <dgm:forEach name="Name28" axis="followSib" ptType="sibTrans" cnt="1">
            <dgm:layoutNode name="parSpace">
              <dgm:alg type="sp"/>
              <dgm:shape xmlns:r="http://schemas.openxmlformats.org/officeDocument/2006/relationships" r:blip="">
                <dgm:adjLst/>
              </dgm:shape>
              <dgm:presOf/>
              <dgm:constrLst/>
              <dgm:ruleLst/>
            </dgm:layoutNode>
          </dgm:forEach>
        </dgm:forEach>
      </dgm:else>
    </dgm:choose>
  </dgm:layoutNode>
</dgm:layoutDef>
</file>

<file path=xl/diagrams/layout4.xml><?xml version="1.0" encoding="utf-8"?>
<dgm:layoutDef xmlns:dgm="http://schemas.openxmlformats.org/drawingml/2006/diagram" xmlns:a="http://schemas.openxmlformats.org/drawingml/2006/main" uniqueId="urn:microsoft.com/office/officeart/2005/8/layout/hChevron3">
  <dgm:title val=""/>
  <dgm:desc val=""/>
  <dgm:catLst>
    <dgm:cat type="process" pri="10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hoose name="Name4">
      <dgm:if name="Name5" axis="root des" func="maxDepth" op="gte" val="2">
        <dgm:constrLst>
          <dgm:constr type="w" for="ch" forName="parAndChTx" refType="w"/>
          <dgm:constr type="primFontSz" for="ch" ptType="node" op="equ"/>
          <dgm:constr type="w" for="ch" forName="parAndChSpace" refType="w" refFor="ch" refForName="parAndChTx" fact="-0.2"/>
          <dgm:constr type="w" for="ch" ptType="sibTrans" op="equ"/>
        </dgm:constrLst>
        <dgm:ruleLst/>
        <dgm:forEach name="Name6" axis="ch" ptType="node">
          <dgm:layoutNode name="parAndChTx">
            <dgm:varLst>
              <dgm:bulletEnabled val="1"/>
            </dgm:varLst>
            <dgm:alg type="tx"/>
            <dgm:choose name="Name7">
              <dgm:if name="Name8" func="var" arg="dir" op="equ" val="norm">
                <dgm:choose name="Name9">
                  <dgm:if name="Name10" axis="self" ptType="node" func="pos" op="equ" val="1">
                    <dgm:shape xmlns:r="http://schemas.openxmlformats.org/officeDocument/2006/relationships" type="homePlate"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4"/>
                    </dgm:constrLst>
                  </dgm:if>
                  <dgm:else name="Name11">
                    <dgm:shape xmlns:r="http://schemas.openxmlformats.org/officeDocument/2006/relationships" type="chevron"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1"/>
                    </dgm:constrLst>
                  </dgm:else>
                </dgm:choose>
              </dgm:if>
              <dgm:else name="Name12">
                <dgm:choose name="Name13">
                  <dgm:if name="Name14" axis="self" ptType="node" func="pos" op="equ" val="1">
                    <dgm:shape xmlns:r="http://schemas.openxmlformats.org/officeDocument/2006/relationships" rot="180" type="homePlate"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4"/>
                      <dgm:constr type="rMarg" refType="w" fact="0.1"/>
                    </dgm:constrLst>
                  </dgm:if>
                  <dgm:else name="Name15">
                    <dgm:shape xmlns:r="http://schemas.openxmlformats.org/officeDocument/2006/relationships" rot="180" type="chevron"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1"/>
                    </dgm:constrLst>
                  </dgm:else>
                </dgm:choose>
              </dgm:else>
            </dgm:choose>
            <dgm:ruleLst>
              <dgm:rule type="primFontSz" val="5" fact="NaN" max="NaN"/>
            </dgm:ruleLst>
          </dgm:layoutNode>
          <dgm:forEach name="Name16" axis="followSib" ptType="sibTrans" cnt="1">
            <dgm:layoutNode name="parAndChSpace">
              <dgm:alg type="sp"/>
              <dgm:shape xmlns:r="http://schemas.openxmlformats.org/officeDocument/2006/relationships" r:blip="">
                <dgm:adjLst/>
              </dgm:shape>
              <dgm:presOf/>
              <dgm:constrLst/>
              <dgm:ruleLst/>
            </dgm:layoutNode>
          </dgm:forEach>
        </dgm:forEach>
      </dgm:if>
      <dgm:else name="Name17">
        <dgm:constrLst>
          <dgm:constr type="w" for="ch" forName="parTxOnly" refType="w"/>
          <dgm:constr type="primFontSz" for="ch" ptType="node" op="equ"/>
          <dgm:constr type="w" for="ch" forName="parSpace" refType="w" refFor="ch" refForName="parTxOnly" fact="-0.2"/>
          <dgm:constr type="w" for="ch" ptType="sibTrans" op="equ"/>
        </dgm:constrLst>
        <dgm:ruleLst/>
        <dgm:forEach name="Name18" axis="ch" ptType="node">
          <dgm:layoutNode name="parTxOnly">
            <dgm:varLst>
              <dgm:bulletEnabled val="1"/>
            </dgm:varLst>
            <dgm:alg type="tx"/>
            <dgm:presOf axis="desOrSelf" ptType="node"/>
            <dgm:choose name="Name19">
              <dgm:if name="Name20" func="var" arg="dir" op="equ" val="norm">
                <dgm:choose name="Name21">
                  <dgm:if name="Name22" axis="self" ptType="node" func="pos" op="equ" val="1">
                    <dgm:shape xmlns:r="http://schemas.openxmlformats.org/officeDocument/2006/relationships" type="homePlate" r:blip="">
                      <dgm:adjLst/>
                    </dgm:shape>
                    <dgm:constrLst>
                      <dgm:constr type="h" refType="w" op="equ" fact="0.4"/>
                      <dgm:constr type="primFontSz" val="65"/>
                      <dgm:constr type="tMarg" refType="primFontSz" fact="0.21"/>
                      <dgm:constr type="bMarg" refType="primFontSz" fact="0.21"/>
                      <dgm:constr type="lMarg" refType="primFontSz" fact="0.42"/>
                      <dgm:constr type="rMarg" refType="primFontSz" fact="0.105"/>
                    </dgm:constrLst>
                  </dgm:if>
                  <dgm:else name="Name23">
                    <dgm:shape xmlns:r="http://schemas.openxmlformats.org/officeDocument/2006/relationships" type="chevron" r:blip="">
                      <dgm:adjLst/>
                    </dgm:shape>
                    <dgm:constrLst>
                      <dgm:constr type="h" refType="w" op="equ" fact="0.4"/>
                      <dgm:constr type="primFontSz" val="65"/>
                      <dgm:constr type="tMarg" refType="primFontSz" fact="0.21"/>
                      <dgm:constr type="bMarg" refType="primFontSz" fact="0.21"/>
                      <dgm:constr type="lMarg" refType="primFontSz" fact="0.315"/>
                      <dgm:constr type="rMarg" refType="primFontSz" fact="0.105"/>
                    </dgm:constrLst>
                  </dgm:else>
                </dgm:choose>
              </dgm:if>
              <dgm:else name="Name24">
                <dgm:choose name="Name25">
                  <dgm:if name="Name26" axis="self" ptType="node" func="pos" op="equ" val="1">
                    <dgm:shape xmlns:r="http://schemas.openxmlformats.org/officeDocument/2006/relationships" rot="180" type="homePlate" r:blip="">
                      <dgm:adjLst/>
                    </dgm:shape>
                    <dgm:constrLst>
                      <dgm:constr type="h" refType="w" op="equ" fact="0.4"/>
                      <dgm:constr type="primFontSz" val="65"/>
                      <dgm:constr type="tMarg" refType="primFontSz" fact="0.21"/>
                      <dgm:constr type="bMarg" refType="primFontSz" fact="0.21"/>
                      <dgm:constr type="lMarg" refType="primFontSz" fact="0.105"/>
                      <dgm:constr type="rMarg" refType="primFontSz" fact="0.42"/>
                    </dgm:constrLst>
                  </dgm:if>
                  <dgm:else name="Name27">
                    <dgm:shape xmlns:r="http://schemas.openxmlformats.org/officeDocument/2006/relationships" rot="180" type="chevron" r:blip="">
                      <dgm:adjLst/>
                    </dgm:shape>
                    <dgm:constrLst>
                      <dgm:constr type="h" refType="w" op="equ" fact="0.4"/>
                      <dgm:constr type="primFontSz" val="65"/>
                      <dgm:constr type="tMarg" refType="primFontSz" fact="0.21"/>
                      <dgm:constr type="bMarg" refType="primFontSz" fact="0.21"/>
                      <dgm:constr type="lMarg" refType="primFontSz" fact="0.105"/>
                      <dgm:constr type="rMarg" refType="primFontSz" fact="0.315"/>
                    </dgm:constrLst>
                  </dgm:else>
                </dgm:choose>
              </dgm:else>
            </dgm:choose>
            <dgm:ruleLst>
              <dgm:rule type="primFontSz" val="5" fact="NaN" max="NaN"/>
            </dgm:ruleLst>
          </dgm:layoutNode>
          <dgm:forEach name="Name28" axis="followSib" ptType="sibTrans" cnt="1">
            <dgm:layoutNode name="parSpace">
              <dgm:alg type="sp"/>
              <dgm:shape xmlns:r="http://schemas.openxmlformats.org/officeDocument/2006/relationships" r:blip="">
                <dgm:adjLst/>
              </dgm:shape>
              <dgm:presOf/>
              <dgm:constrLst/>
              <dgm:ruleLst/>
            </dgm:layoutNode>
          </dgm:forEach>
        </dgm:forEach>
      </dgm:else>
    </dgm:choos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4.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3.xml.rels><?xml version="1.0" encoding="UTF-8" standalone="yes"?>
<Relationships xmlns="http://schemas.openxmlformats.org/package/2006/relationships"><Relationship Id="rId3" Type="http://schemas.openxmlformats.org/officeDocument/2006/relationships/diagramQuickStyle" Target="../diagrams/quickStyle2.xml"/><Relationship Id="rId2" Type="http://schemas.openxmlformats.org/officeDocument/2006/relationships/diagramLayout" Target="../diagrams/layout2.xml"/><Relationship Id="rId1" Type="http://schemas.openxmlformats.org/officeDocument/2006/relationships/diagramData" Target="../diagrams/data2.xml"/><Relationship Id="rId5" Type="http://schemas.microsoft.com/office/2007/relationships/diagramDrawing" Target="../diagrams/drawing2.xml"/><Relationship Id="rId4" Type="http://schemas.openxmlformats.org/officeDocument/2006/relationships/diagramColors" Target="../diagrams/colors2.xml"/></Relationships>
</file>

<file path=xl/drawings/_rels/drawing5.xml.rels><?xml version="1.0" encoding="UTF-8" standalone="yes"?>
<Relationships xmlns="http://schemas.openxmlformats.org/package/2006/relationships"><Relationship Id="rId3" Type="http://schemas.openxmlformats.org/officeDocument/2006/relationships/diagramQuickStyle" Target="../diagrams/quickStyle3.xml"/><Relationship Id="rId2" Type="http://schemas.openxmlformats.org/officeDocument/2006/relationships/diagramLayout" Target="../diagrams/layout3.xml"/><Relationship Id="rId1" Type="http://schemas.openxmlformats.org/officeDocument/2006/relationships/diagramData" Target="../diagrams/data3.xml"/><Relationship Id="rId5" Type="http://schemas.microsoft.com/office/2007/relationships/diagramDrawing" Target="../diagrams/drawing3.xml"/><Relationship Id="rId4" Type="http://schemas.openxmlformats.org/officeDocument/2006/relationships/diagramColors" Target="../diagrams/colors3.xml"/></Relationships>
</file>

<file path=xl/drawings/_rels/drawing7.xml.rels><?xml version="1.0" encoding="UTF-8" standalone="yes"?>
<Relationships xmlns="http://schemas.openxmlformats.org/package/2006/relationships"><Relationship Id="rId3" Type="http://schemas.openxmlformats.org/officeDocument/2006/relationships/diagramQuickStyle" Target="../diagrams/quickStyle4.xml"/><Relationship Id="rId2" Type="http://schemas.openxmlformats.org/officeDocument/2006/relationships/diagramLayout" Target="../diagrams/layout4.xml"/><Relationship Id="rId1" Type="http://schemas.openxmlformats.org/officeDocument/2006/relationships/diagramData" Target="../diagrams/data4.xml"/><Relationship Id="rId5" Type="http://schemas.microsoft.com/office/2007/relationships/diagramDrawing" Target="../diagrams/drawing4.xml"/><Relationship Id="rId4" Type="http://schemas.openxmlformats.org/officeDocument/2006/relationships/diagramColors" Target="../diagrams/colors4.xml"/></Relationships>
</file>

<file path=xl/drawings/drawing1.xml><?xml version="1.0" encoding="utf-8"?>
<xdr:wsDr xmlns:xdr="http://schemas.openxmlformats.org/drawingml/2006/spreadsheetDrawing" xmlns:a="http://schemas.openxmlformats.org/drawingml/2006/main">
  <xdr:twoCellAnchor>
    <xdr:from>
      <xdr:col>1</xdr:col>
      <xdr:colOff>160020</xdr:colOff>
      <xdr:row>21</xdr:row>
      <xdr:rowOff>44829</xdr:rowOff>
    </xdr:from>
    <xdr:to>
      <xdr:col>10</xdr:col>
      <xdr:colOff>518160</xdr:colOff>
      <xdr:row>26</xdr:row>
      <xdr:rowOff>116542</xdr:rowOff>
    </xdr:to>
    <xdr:graphicFrame macro="">
      <xdr:nvGraphicFramePr>
        <xdr:cNvPr id="2" name="Diagram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mc:AlternateContent xmlns:mc="http://schemas.openxmlformats.org/markup-compatibility/2006">
    <mc:Choice xmlns:a14="http://schemas.microsoft.com/office/drawing/2010/main" Requires="a14">
      <xdr:twoCellAnchor>
        <xdr:from>
          <xdr:col>13</xdr:col>
          <xdr:colOff>142875</xdr:colOff>
          <xdr:row>50</xdr:row>
          <xdr:rowOff>104775</xdr:rowOff>
        </xdr:from>
        <xdr:to>
          <xdr:col>15</xdr:col>
          <xdr:colOff>66675</xdr:colOff>
          <xdr:row>50</xdr:row>
          <xdr:rowOff>695325</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000-00000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a:p>
              <a:pPr algn="ctr" rtl="0">
                <a:defRPr sz="1000"/>
              </a:pPr>
              <a:r>
                <a:rPr lang="en-US" sz="1100" b="0" i="0" u="none" strike="noStrike" baseline="0">
                  <a:solidFill>
                    <a:srgbClr val="000000"/>
                  </a:solidFill>
                  <a:latin typeface="Calibri"/>
                  <a:cs typeface="Calibri"/>
                </a:rPr>
                <a:t>Responses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171450</xdr:colOff>
          <xdr:row>50</xdr:row>
          <xdr:rowOff>114300</xdr:rowOff>
        </xdr:from>
        <xdr:to>
          <xdr:col>16</xdr:col>
          <xdr:colOff>561975</xdr:colOff>
          <xdr:row>50</xdr:row>
          <xdr:rowOff>695325</xdr:rowOff>
        </xdr:to>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000-00000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Scoring</a:t>
              </a:r>
            </a:p>
            <a:p>
              <a:pPr algn="ctr" rtl="0">
                <a:defRPr sz="1000"/>
              </a:pPr>
              <a:r>
                <a:rPr lang="en-US" sz="1100" b="0" i="0" u="none" strike="noStrike" baseline="0">
                  <a:solidFill>
                    <a:srgbClr val="000000"/>
                  </a:solidFill>
                  <a:latin typeface="Calibri"/>
                  <a:cs typeface="Calibri"/>
                </a:rPr>
                <a:t>Matrix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0</xdr:colOff>
      <xdr:row>1</xdr:row>
      <xdr:rowOff>0</xdr:rowOff>
    </xdr:from>
    <xdr:to>
      <xdr:col>12</xdr:col>
      <xdr:colOff>373856</xdr:colOff>
      <xdr:row>2</xdr:row>
      <xdr:rowOff>123825</xdr:rowOff>
    </xdr:to>
    <xdr:sp macro="[0]!Sheet8.WriteFeasibilityToJSON" textlink="">
      <xdr:nvSpPr>
        <xdr:cNvPr id="2" name="Rectangle: Rounded Corners 1">
          <a:extLst>
            <a:ext uri="{FF2B5EF4-FFF2-40B4-BE49-F238E27FC236}">
              <a16:creationId xmlns:a16="http://schemas.microsoft.com/office/drawing/2014/main" id="{00000000-0008-0000-0100-000002000000}"/>
            </a:ext>
          </a:extLst>
        </xdr:cNvPr>
        <xdr:cNvSpPr/>
      </xdr:nvSpPr>
      <xdr:spPr>
        <a:xfrm>
          <a:off x="10020300" y="190500"/>
          <a:ext cx="2202656" cy="809625"/>
        </a:xfrm>
        <a:prstGeom prst="roundRect">
          <a:avLst/>
        </a:prstGeom>
        <a:solidFill>
          <a:schemeClr val="accent4">
            <a:lumMod val="50000"/>
          </a:schemeClr>
        </a:solidFill>
        <a:ln>
          <a:solidFill>
            <a:schemeClr val="accent4">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Export Feasibility Matrix</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19050</xdr:colOff>
      <xdr:row>21</xdr:row>
      <xdr:rowOff>76200</xdr:rowOff>
    </xdr:from>
    <xdr:to>
      <xdr:col>10</xdr:col>
      <xdr:colOff>586223</xdr:colOff>
      <xdr:row>26</xdr:row>
      <xdr:rowOff>127217</xdr:rowOff>
    </xdr:to>
    <xdr:graphicFrame macro="">
      <xdr:nvGraphicFramePr>
        <xdr:cNvPr id="3" name="Diagram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mc:AlternateContent xmlns:mc="http://schemas.openxmlformats.org/markup-compatibility/2006">
    <mc:Choice xmlns:a14="http://schemas.microsoft.com/office/drawing/2010/main" Requires="a14">
      <xdr:twoCellAnchor>
        <xdr:from>
          <xdr:col>15</xdr:col>
          <xdr:colOff>133350</xdr:colOff>
          <xdr:row>49</xdr:row>
          <xdr:rowOff>28575</xdr:rowOff>
        </xdr:from>
        <xdr:to>
          <xdr:col>17</xdr:col>
          <xdr:colOff>57150</xdr:colOff>
          <xdr:row>50</xdr:row>
          <xdr:rowOff>161925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a:p>
              <a:pPr algn="ctr" rtl="0">
                <a:defRPr sz="1000"/>
              </a:pPr>
              <a:r>
                <a:rPr lang="en-US" sz="1100" b="0" i="0" u="none" strike="noStrike" baseline="0">
                  <a:solidFill>
                    <a:srgbClr val="000000"/>
                  </a:solidFill>
                  <a:latin typeface="Calibri"/>
                  <a:cs typeface="Calibri"/>
                </a:rPr>
                <a:t>Responses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49</xdr:row>
          <xdr:rowOff>38100</xdr:rowOff>
        </xdr:from>
        <xdr:to>
          <xdr:col>18</xdr:col>
          <xdr:colOff>552450</xdr:colOff>
          <xdr:row>50</xdr:row>
          <xdr:rowOff>161925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Scoring</a:t>
              </a:r>
            </a:p>
            <a:p>
              <a:pPr algn="ctr" rtl="0">
                <a:defRPr sz="1000"/>
              </a:pPr>
              <a:r>
                <a:rPr lang="en-US" sz="1100" b="0" i="0" u="none" strike="noStrike" baseline="0">
                  <a:solidFill>
                    <a:srgbClr val="000000"/>
                  </a:solidFill>
                  <a:latin typeface="Calibri"/>
                  <a:cs typeface="Calibri"/>
                </a:rPr>
                <a:t>Matrix</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381001</xdr:colOff>
      <xdr:row>1</xdr:row>
      <xdr:rowOff>23812</xdr:rowOff>
    </xdr:from>
    <xdr:to>
      <xdr:col>2</xdr:col>
      <xdr:colOff>2583657</xdr:colOff>
      <xdr:row>1</xdr:row>
      <xdr:rowOff>833437</xdr:rowOff>
    </xdr:to>
    <xdr:sp macro="[0]!Sheet8.writeAppMatrixToJSON" textlink="">
      <xdr:nvSpPr>
        <xdr:cNvPr id="2" name="Rectangle: Rounded Corners 1">
          <a:extLst>
            <a:ext uri="{FF2B5EF4-FFF2-40B4-BE49-F238E27FC236}">
              <a16:creationId xmlns:a16="http://schemas.microsoft.com/office/drawing/2014/main" id="{00000000-0008-0000-0300-000002000000}"/>
            </a:ext>
          </a:extLst>
        </xdr:cNvPr>
        <xdr:cNvSpPr/>
      </xdr:nvSpPr>
      <xdr:spPr>
        <a:xfrm>
          <a:off x="4631532" y="357187"/>
          <a:ext cx="2202656" cy="8096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Export Application</a:t>
          </a:r>
          <a:r>
            <a:rPr lang="en-US" sz="1800" b="1" baseline="0"/>
            <a:t> Matrix</a:t>
          </a:r>
          <a:endParaRPr lang="en-US" sz="1800" b="1"/>
        </a:p>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21</xdr:row>
      <xdr:rowOff>56445</xdr:rowOff>
    </xdr:from>
    <xdr:to>
      <xdr:col>10</xdr:col>
      <xdr:colOff>602733</xdr:colOff>
      <xdr:row>26</xdr:row>
      <xdr:rowOff>128158</xdr:rowOff>
    </xdr:to>
    <xdr:graphicFrame macro="">
      <xdr:nvGraphicFramePr>
        <xdr:cNvPr id="2" name="Diagram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mc:AlternateContent xmlns:mc="http://schemas.openxmlformats.org/markup-compatibility/2006">
    <mc:Choice xmlns:a14="http://schemas.microsoft.com/office/drawing/2010/main" Requires="a14">
      <xdr:twoCellAnchor>
        <xdr:from>
          <xdr:col>13</xdr:col>
          <xdr:colOff>171450</xdr:colOff>
          <xdr:row>50</xdr:row>
          <xdr:rowOff>0</xdr:rowOff>
        </xdr:from>
        <xdr:to>
          <xdr:col>15</xdr:col>
          <xdr:colOff>95250</xdr:colOff>
          <xdr:row>50</xdr:row>
          <xdr:rowOff>590550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400-00000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a:p>
              <a:pPr algn="ctr" rtl="0">
                <a:defRPr sz="1000"/>
              </a:pPr>
              <a:r>
                <a:rPr lang="en-US" sz="1100" b="0" i="0" u="none" strike="noStrike" baseline="0">
                  <a:solidFill>
                    <a:srgbClr val="000000"/>
                  </a:solidFill>
                  <a:latin typeface="Calibri"/>
                  <a:cs typeface="Calibri"/>
                </a:rPr>
                <a:t>Responses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209550</xdr:colOff>
          <xdr:row>50</xdr:row>
          <xdr:rowOff>0</xdr:rowOff>
        </xdr:from>
        <xdr:to>
          <xdr:col>16</xdr:col>
          <xdr:colOff>600075</xdr:colOff>
          <xdr:row>50</xdr:row>
          <xdr:rowOff>581025</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400-000006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Scoring</a:t>
              </a:r>
            </a:p>
            <a:p>
              <a:pPr algn="ctr" rtl="0">
                <a:defRPr sz="1000"/>
              </a:pPr>
              <a:r>
                <a:rPr lang="en-US" sz="1100" b="0" i="0" u="none" strike="noStrike" baseline="0">
                  <a:solidFill>
                    <a:srgbClr val="000000"/>
                  </a:solidFill>
                  <a:latin typeface="Calibri"/>
                  <a:cs typeface="Calibri"/>
                </a:rPr>
                <a:t>Matrix</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5</xdr:col>
      <xdr:colOff>0</xdr:colOff>
      <xdr:row>3</xdr:row>
      <xdr:rowOff>0</xdr:rowOff>
    </xdr:from>
    <xdr:to>
      <xdr:col>7</xdr:col>
      <xdr:colOff>120764</xdr:colOff>
      <xdr:row>3</xdr:row>
      <xdr:rowOff>809625</xdr:rowOff>
    </xdr:to>
    <xdr:sp macro="[0]!Sheet8.WriteGoalsToJSON" textlink="">
      <xdr:nvSpPr>
        <xdr:cNvPr id="2" name="Rectangle: Rounded Corners 1">
          <a:extLst>
            <a:ext uri="{FF2B5EF4-FFF2-40B4-BE49-F238E27FC236}">
              <a16:creationId xmlns:a16="http://schemas.microsoft.com/office/drawing/2014/main" id="{00000000-0008-0000-0500-000002000000}"/>
            </a:ext>
          </a:extLst>
        </xdr:cNvPr>
        <xdr:cNvSpPr/>
      </xdr:nvSpPr>
      <xdr:spPr>
        <a:xfrm>
          <a:off x="5197929" y="340179"/>
          <a:ext cx="2202656" cy="809625"/>
        </a:xfrm>
        <a:prstGeom prst="roundRect">
          <a:avLst/>
        </a:prstGeom>
        <a:solidFill>
          <a:schemeClr val="accent6">
            <a:lumMod val="50000"/>
          </a:schemeClr>
        </a:solid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Export Goal-Needs Matrix</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21</xdr:row>
      <xdr:rowOff>56445</xdr:rowOff>
    </xdr:from>
    <xdr:to>
      <xdr:col>10</xdr:col>
      <xdr:colOff>602733</xdr:colOff>
      <xdr:row>26</xdr:row>
      <xdr:rowOff>128158</xdr:rowOff>
    </xdr:to>
    <xdr:graphicFrame macro="">
      <xdr:nvGraphicFramePr>
        <xdr:cNvPr id="2" name="Diagram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mc:AlternateContent xmlns:mc="http://schemas.openxmlformats.org/markup-compatibility/2006">
    <mc:Choice xmlns:a14="http://schemas.microsoft.com/office/drawing/2010/main" Requires="a14">
      <xdr:twoCellAnchor>
        <xdr:from>
          <xdr:col>12</xdr:col>
          <xdr:colOff>171450</xdr:colOff>
          <xdr:row>79</xdr:row>
          <xdr:rowOff>0</xdr:rowOff>
        </xdr:from>
        <xdr:to>
          <xdr:col>14</xdr:col>
          <xdr:colOff>95250</xdr:colOff>
          <xdr:row>80</xdr:row>
          <xdr:rowOff>352425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6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a:p>
              <a:pPr algn="ctr" rtl="0">
                <a:defRPr sz="1000"/>
              </a:pPr>
              <a:r>
                <a:rPr lang="en-US" sz="1100" b="0" i="0" u="none" strike="noStrike" baseline="0">
                  <a:solidFill>
                    <a:srgbClr val="000000"/>
                  </a:solidFill>
                  <a:latin typeface="Calibri"/>
                  <a:cs typeface="Calibri"/>
                </a:rPr>
                <a:t>Responses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209550</xdr:colOff>
          <xdr:row>79</xdr:row>
          <xdr:rowOff>0</xdr:rowOff>
        </xdr:from>
        <xdr:to>
          <xdr:col>15</xdr:col>
          <xdr:colOff>600075</xdr:colOff>
          <xdr:row>80</xdr:row>
          <xdr:rowOff>342900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600-000006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Scoring</a:t>
              </a:r>
            </a:p>
            <a:p>
              <a:pPr algn="ctr" rtl="0">
                <a:defRPr sz="1000"/>
              </a:pPr>
              <a:r>
                <a:rPr lang="en-US" sz="1100" b="0" i="0" u="none" strike="noStrike" baseline="0">
                  <a:solidFill>
                    <a:srgbClr val="000000"/>
                  </a:solidFill>
                  <a:latin typeface="Calibri"/>
                  <a:cs typeface="Calibri"/>
                </a:rPr>
                <a:t>Matrix</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4</xdr:col>
      <xdr:colOff>0</xdr:colOff>
      <xdr:row>3</xdr:row>
      <xdr:rowOff>0</xdr:rowOff>
    </xdr:from>
    <xdr:to>
      <xdr:col>6</xdr:col>
      <xdr:colOff>540110</xdr:colOff>
      <xdr:row>3</xdr:row>
      <xdr:rowOff>809625</xdr:rowOff>
    </xdr:to>
    <xdr:sp macro="[0]!Sheet8.WriteStakeholderMatrix" textlink="">
      <xdr:nvSpPr>
        <xdr:cNvPr id="2" name="Rectangle: Rounded Corners 1">
          <a:extLst>
            <a:ext uri="{FF2B5EF4-FFF2-40B4-BE49-F238E27FC236}">
              <a16:creationId xmlns:a16="http://schemas.microsoft.com/office/drawing/2014/main" id="{00000000-0008-0000-0700-000002000000}"/>
            </a:ext>
          </a:extLst>
        </xdr:cNvPr>
        <xdr:cNvSpPr/>
      </xdr:nvSpPr>
      <xdr:spPr>
        <a:xfrm>
          <a:off x="5091545" y="329045"/>
          <a:ext cx="2202656" cy="809625"/>
        </a:xfrm>
        <a:prstGeom prst="roundRect">
          <a:avLst/>
        </a:prstGeom>
        <a:solidFill>
          <a:schemeClr val="accent2">
            <a:lumMod val="50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Export Stakeholder</a:t>
          </a:r>
          <a:r>
            <a:rPr lang="en-US" sz="1800" b="1" baseline="0"/>
            <a:t> Matrix</a:t>
          </a:r>
        </a:p>
      </xdr:txBody>
    </xdr:sp>
    <xdr:clientData/>
  </xdr:twoCellAnchor>
</xdr:wsDr>
</file>

<file path=xl/theme/theme1.xml><?xml version="1.0" encoding="utf-8"?>
<a:theme xmlns:a="http://schemas.openxmlformats.org/drawingml/2006/main" name="Office Theme">
  <a:themeElements>
    <a:clrScheme name="WZITS">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mailto:Bschroeder@Kittelson.com" TargetMode="External"/><Relationship Id="rId1" Type="http://schemas.openxmlformats.org/officeDocument/2006/relationships/hyperlink" Target="mailto:todd.peterson@dot.gov"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ctrlProp" Target="../ctrlProps/ctrlProp4.xml"/><Relationship Id="rId2" Type="http://schemas.openxmlformats.org/officeDocument/2006/relationships/hyperlink" Target="mailto:Bschroeder@Kittelson.com" TargetMode="External"/><Relationship Id="rId1" Type="http://schemas.openxmlformats.org/officeDocument/2006/relationships/hyperlink" Target="mailto:todd.peterson@dot.gov" TargetMode="External"/><Relationship Id="rId6" Type="http://schemas.openxmlformats.org/officeDocument/2006/relationships/ctrlProp" Target="../ctrlProps/ctrlProp3.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mailto:Bschroeder@Kittelson.com" TargetMode="External"/><Relationship Id="rId1" Type="http://schemas.openxmlformats.org/officeDocument/2006/relationships/hyperlink" Target="mailto:todd.peterson@dot.gov"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hyperlink" Target="mailto:Bschroeder@Kittelson.com" TargetMode="External"/><Relationship Id="rId1" Type="http://schemas.openxmlformats.org/officeDocument/2006/relationships/hyperlink" Target="mailto:todd.peterson@dot.gov" TargetMode="Externa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4A4BD-F8DF-42BC-B917-37CBF4018714}">
  <sheetPr codeName="Sheet8">
    <tabColor theme="7" tint="-0.499984740745262"/>
  </sheetPr>
  <dimension ref="B1:S73"/>
  <sheetViews>
    <sheetView topLeftCell="A50" zoomScaleNormal="100" workbookViewId="0">
      <selection activeCell="M22" sqref="M22"/>
    </sheetView>
  </sheetViews>
  <sheetFormatPr defaultColWidth="9.140625" defaultRowHeight="15" x14ac:dyDescent="0.25"/>
  <cols>
    <col min="1" max="8" width="9.140625" style="1"/>
    <col min="9" max="9" width="12.7109375" style="1" customWidth="1"/>
    <col min="10" max="11" width="9.140625" style="1"/>
    <col min="12" max="13" width="16.42578125" style="1" customWidth="1"/>
    <col min="14" max="16384" width="9.140625" style="1"/>
  </cols>
  <sheetData>
    <row r="1" spans="2:11" ht="14.45" customHeight="1" x14ac:dyDescent="0.25"/>
    <row r="2" spans="2:11" ht="14.45" customHeight="1" x14ac:dyDescent="0.25">
      <c r="B2" s="32"/>
      <c r="C2" s="123" t="s">
        <v>50</v>
      </c>
      <c r="D2" s="123"/>
      <c r="E2" s="123"/>
      <c r="F2" s="123"/>
      <c r="G2" s="123"/>
      <c r="H2" s="123"/>
      <c r="I2" s="123"/>
      <c r="J2" s="123"/>
      <c r="K2" s="124"/>
    </row>
    <row r="3" spans="2:11" ht="14.45" customHeight="1" x14ac:dyDescent="0.25">
      <c r="B3" s="33"/>
      <c r="C3" s="125"/>
      <c r="D3" s="125"/>
      <c r="E3" s="125"/>
      <c r="F3" s="125"/>
      <c r="G3" s="125"/>
      <c r="H3" s="125"/>
      <c r="I3" s="125"/>
      <c r="J3" s="125"/>
      <c r="K3" s="126"/>
    </row>
    <row r="4" spans="2:11" ht="14.45" customHeight="1" x14ac:dyDescent="0.25">
      <c r="B4" s="13"/>
      <c r="C4" s="127" t="s">
        <v>214</v>
      </c>
      <c r="D4" s="127"/>
      <c r="E4" s="127"/>
      <c r="F4" s="127"/>
      <c r="G4" s="127"/>
      <c r="H4" s="127"/>
      <c r="I4" s="127"/>
      <c r="J4" s="127"/>
      <c r="K4" s="128"/>
    </row>
    <row r="5" spans="2:11" ht="15" customHeight="1" x14ac:dyDescent="0.25">
      <c r="B5" s="34"/>
      <c r="C5" s="127"/>
      <c r="D5" s="127"/>
      <c r="E5" s="127"/>
      <c r="F5" s="127"/>
      <c r="G5" s="127"/>
      <c r="H5" s="127"/>
      <c r="I5" s="127"/>
      <c r="J5" s="127"/>
      <c r="K5" s="128"/>
    </row>
    <row r="6" spans="2:11" ht="28.5" x14ac:dyDescent="0.25">
      <c r="B6" s="34"/>
      <c r="C6" s="127"/>
      <c r="D6" s="127"/>
      <c r="E6" s="127"/>
      <c r="F6" s="127"/>
      <c r="G6" s="127"/>
      <c r="H6" s="127"/>
      <c r="I6" s="127"/>
      <c r="J6" s="127"/>
      <c r="K6" s="128"/>
    </row>
    <row r="7" spans="2:11" ht="14.45" customHeight="1" x14ac:dyDescent="0.25">
      <c r="B7" s="13"/>
      <c r="C7" s="127"/>
      <c r="D7" s="127"/>
      <c r="E7" s="127"/>
      <c r="F7" s="127"/>
      <c r="G7" s="127"/>
      <c r="H7" s="127"/>
      <c r="I7" s="127"/>
      <c r="J7" s="127"/>
      <c r="K7" s="128"/>
    </row>
    <row r="8" spans="2:11" x14ac:dyDescent="0.25">
      <c r="B8" s="7"/>
      <c r="C8" s="129" t="s">
        <v>84</v>
      </c>
      <c r="D8" s="129"/>
      <c r="E8" s="129"/>
      <c r="F8" s="129"/>
      <c r="G8" s="129"/>
      <c r="H8" s="129"/>
      <c r="I8" s="129"/>
      <c r="J8" s="129"/>
      <c r="K8" s="8"/>
    </row>
    <row r="9" spans="2:11" x14ac:dyDescent="0.25">
      <c r="B9" s="7"/>
      <c r="C9" s="129"/>
      <c r="D9" s="129"/>
      <c r="E9" s="129"/>
      <c r="F9" s="129"/>
      <c r="G9" s="129"/>
      <c r="H9" s="129"/>
      <c r="I9" s="129"/>
      <c r="J9" s="129"/>
      <c r="K9" s="8"/>
    </row>
    <row r="10" spans="2:11" x14ac:dyDescent="0.25">
      <c r="B10" s="7"/>
      <c r="C10" s="129"/>
      <c r="D10" s="129"/>
      <c r="E10" s="129"/>
      <c r="F10" s="129"/>
      <c r="G10" s="129"/>
      <c r="H10" s="129"/>
      <c r="I10" s="129"/>
      <c r="J10" s="129"/>
      <c r="K10" s="8"/>
    </row>
    <row r="11" spans="2:11" x14ac:dyDescent="0.25">
      <c r="B11" s="7"/>
      <c r="C11" s="129"/>
      <c r="D11" s="129"/>
      <c r="E11" s="129"/>
      <c r="F11" s="129"/>
      <c r="G11" s="129"/>
      <c r="H11" s="129"/>
      <c r="I11" s="129"/>
      <c r="J11" s="129"/>
      <c r="K11" s="8"/>
    </row>
    <row r="12" spans="2:11" ht="14.45" customHeight="1" x14ac:dyDescent="0.25">
      <c r="B12" s="7"/>
      <c r="K12" s="8"/>
    </row>
    <row r="13" spans="2:11" x14ac:dyDescent="0.25">
      <c r="B13" s="7"/>
      <c r="C13" s="130" t="s">
        <v>215</v>
      </c>
      <c r="D13" s="130"/>
      <c r="E13" s="130"/>
      <c r="F13" s="130"/>
      <c r="G13" s="130"/>
      <c r="H13" s="130"/>
      <c r="I13" s="130"/>
      <c r="J13" s="130"/>
      <c r="K13" s="8"/>
    </row>
    <row r="14" spans="2:11" x14ac:dyDescent="0.25">
      <c r="B14" s="7"/>
      <c r="C14" s="130"/>
      <c r="D14" s="130"/>
      <c r="E14" s="130"/>
      <c r="F14" s="130"/>
      <c r="G14" s="130"/>
      <c r="H14" s="130"/>
      <c r="I14" s="130"/>
      <c r="J14" s="130"/>
      <c r="K14" s="8"/>
    </row>
    <row r="15" spans="2:11" x14ac:dyDescent="0.25">
      <c r="B15" s="7"/>
      <c r="C15" s="130"/>
      <c r="D15" s="130"/>
      <c r="E15" s="130"/>
      <c r="F15" s="130"/>
      <c r="G15" s="130"/>
      <c r="H15" s="130"/>
      <c r="I15" s="130"/>
      <c r="J15" s="130"/>
      <c r="K15" s="8"/>
    </row>
    <row r="16" spans="2:11" x14ac:dyDescent="0.25">
      <c r="B16" s="7"/>
      <c r="C16" s="130"/>
      <c r="D16" s="130"/>
      <c r="E16" s="130"/>
      <c r="F16" s="130"/>
      <c r="G16" s="130"/>
      <c r="H16" s="130"/>
      <c r="I16" s="130"/>
      <c r="J16" s="130"/>
      <c r="K16" s="8"/>
    </row>
    <row r="17" spans="2:11" x14ac:dyDescent="0.25">
      <c r="B17" s="7"/>
      <c r="C17" s="130"/>
      <c r="D17" s="130"/>
      <c r="E17" s="130"/>
      <c r="F17" s="130"/>
      <c r="G17" s="130"/>
      <c r="H17" s="130"/>
      <c r="I17" s="130"/>
      <c r="J17" s="130"/>
      <c r="K17" s="8"/>
    </row>
    <row r="18" spans="2:11" ht="14.45" customHeight="1" x14ac:dyDescent="0.25">
      <c r="B18" s="7"/>
      <c r="K18" s="8"/>
    </row>
    <row r="19" spans="2:11" x14ac:dyDescent="0.25">
      <c r="B19" s="7"/>
      <c r="C19" s="131" t="s">
        <v>85</v>
      </c>
      <c r="D19" s="131"/>
      <c r="E19" s="131"/>
      <c r="F19" s="131"/>
      <c r="G19" s="131"/>
      <c r="H19" s="131"/>
      <c r="I19" s="131"/>
      <c r="J19" s="131"/>
      <c r="K19" s="8"/>
    </row>
    <row r="20" spans="2:11" x14ac:dyDescent="0.25">
      <c r="B20" s="7"/>
      <c r="C20" s="131"/>
      <c r="D20" s="131"/>
      <c r="E20" s="131"/>
      <c r="F20" s="131"/>
      <c r="G20" s="131"/>
      <c r="H20" s="131"/>
      <c r="I20" s="131"/>
      <c r="J20" s="131"/>
      <c r="K20" s="8"/>
    </row>
    <row r="21" spans="2:11" x14ac:dyDescent="0.25">
      <c r="B21" s="7"/>
      <c r="C21" s="131"/>
      <c r="D21" s="131"/>
      <c r="E21" s="131"/>
      <c r="F21" s="131"/>
      <c r="G21" s="131"/>
      <c r="H21" s="131"/>
      <c r="I21" s="131"/>
      <c r="J21" s="131"/>
      <c r="K21" s="8"/>
    </row>
    <row r="22" spans="2:11" x14ac:dyDescent="0.25">
      <c r="B22" s="7"/>
      <c r="K22" s="8"/>
    </row>
    <row r="23" spans="2:11" x14ac:dyDescent="0.25">
      <c r="B23" s="7"/>
      <c r="K23" s="8"/>
    </row>
    <row r="24" spans="2:11" x14ac:dyDescent="0.25">
      <c r="B24" s="7"/>
      <c r="K24" s="8"/>
    </row>
    <row r="25" spans="2:11" x14ac:dyDescent="0.25">
      <c r="B25" s="7"/>
      <c r="K25" s="8"/>
    </row>
    <row r="26" spans="2:11" x14ac:dyDescent="0.25">
      <c r="B26" s="7"/>
      <c r="K26" s="8"/>
    </row>
    <row r="27" spans="2:11" x14ac:dyDescent="0.25">
      <c r="B27" s="7"/>
      <c r="K27" s="8"/>
    </row>
    <row r="28" spans="2:11" x14ac:dyDescent="0.25">
      <c r="B28" s="14"/>
      <c r="C28" s="58" t="s">
        <v>86</v>
      </c>
      <c r="D28" s="59"/>
      <c r="E28" s="59"/>
      <c r="F28" s="59"/>
      <c r="G28" s="59"/>
      <c r="H28" s="59"/>
      <c r="I28" s="59"/>
      <c r="J28" s="59"/>
      <c r="K28" s="15"/>
    </row>
    <row r="29" spans="2:11" x14ac:dyDescent="0.25">
      <c r="B29" s="14"/>
      <c r="C29" s="132" t="s">
        <v>216</v>
      </c>
      <c r="D29" s="132"/>
      <c r="E29" s="132"/>
      <c r="F29" s="132"/>
      <c r="G29" s="132"/>
      <c r="H29" s="132"/>
      <c r="I29" s="132"/>
      <c r="J29" s="132"/>
      <c r="K29" s="15"/>
    </row>
    <row r="30" spans="2:11" x14ac:dyDescent="0.25">
      <c r="B30" s="14"/>
      <c r="C30" s="132" t="s">
        <v>217</v>
      </c>
      <c r="D30" s="132"/>
      <c r="E30" s="132"/>
      <c r="F30" s="132"/>
      <c r="G30" s="132"/>
      <c r="H30" s="132"/>
      <c r="I30" s="132"/>
      <c r="J30" s="132"/>
      <c r="K30" s="15"/>
    </row>
    <row r="31" spans="2:11" ht="14.45" hidden="1" customHeight="1" x14ac:dyDescent="0.25">
      <c r="B31" s="14"/>
      <c r="C31" s="60"/>
      <c r="D31" s="59"/>
      <c r="E31" s="59"/>
      <c r="F31" s="59"/>
      <c r="G31" s="59"/>
      <c r="H31" s="59"/>
      <c r="I31" s="59"/>
      <c r="J31" s="59"/>
      <c r="K31" s="15"/>
    </row>
    <row r="32" spans="2:11" x14ac:dyDescent="0.25">
      <c r="B32" s="14"/>
      <c r="C32" s="133" t="s">
        <v>289</v>
      </c>
      <c r="D32" s="133"/>
      <c r="E32" s="133"/>
      <c r="F32" s="133"/>
      <c r="G32" s="133"/>
      <c r="H32" s="133"/>
      <c r="I32" s="133"/>
      <c r="J32" s="133"/>
      <c r="K32" s="15"/>
    </row>
    <row r="33" spans="2:11" ht="32.25" customHeight="1" x14ac:dyDescent="0.25">
      <c r="B33" s="14"/>
      <c r="C33" s="133"/>
      <c r="D33" s="133"/>
      <c r="E33" s="133"/>
      <c r="F33" s="133"/>
      <c r="G33" s="133"/>
      <c r="H33" s="133"/>
      <c r="I33" s="133"/>
      <c r="J33" s="133"/>
      <c r="K33" s="15"/>
    </row>
    <row r="34" spans="2:11" x14ac:dyDescent="0.25">
      <c r="B34" s="7"/>
      <c r="K34" s="8"/>
    </row>
    <row r="35" spans="2:11" ht="14.45" customHeight="1" x14ac:dyDescent="0.25">
      <c r="B35" s="7"/>
      <c r="C35" s="61" t="s">
        <v>87</v>
      </c>
      <c r="K35" s="8"/>
    </row>
    <row r="36" spans="2:11" x14ac:dyDescent="0.25">
      <c r="B36" s="7"/>
      <c r="C36" s="130" t="s">
        <v>51</v>
      </c>
      <c r="D36" s="130"/>
      <c r="E36" s="130"/>
      <c r="F36" s="130"/>
      <c r="G36" s="130"/>
      <c r="H36" s="130"/>
      <c r="I36" s="130"/>
      <c r="J36" s="130"/>
      <c r="K36" s="8"/>
    </row>
    <row r="37" spans="2:11" x14ac:dyDescent="0.25">
      <c r="B37" s="7"/>
      <c r="C37" s="130"/>
      <c r="D37" s="130"/>
      <c r="E37" s="130"/>
      <c r="F37" s="130"/>
      <c r="G37" s="130"/>
      <c r="H37" s="130"/>
      <c r="I37" s="130"/>
      <c r="J37" s="130"/>
      <c r="K37" s="8"/>
    </row>
    <row r="38" spans="2:11" x14ac:dyDescent="0.25">
      <c r="B38" s="7"/>
      <c r="C38" s="130"/>
      <c r="D38" s="130"/>
      <c r="E38" s="130"/>
      <c r="F38" s="130"/>
      <c r="G38" s="130"/>
      <c r="H38" s="130"/>
      <c r="I38" s="130"/>
      <c r="J38" s="130"/>
      <c r="K38" s="8"/>
    </row>
    <row r="39" spans="2:11" x14ac:dyDescent="0.25">
      <c r="B39" s="7"/>
      <c r="K39" s="8"/>
    </row>
    <row r="40" spans="2:11" x14ac:dyDescent="0.25">
      <c r="B40" s="7"/>
      <c r="C40" s="61" t="s">
        <v>52</v>
      </c>
      <c r="D40" s="61"/>
      <c r="G40" s="61" t="s">
        <v>53</v>
      </c>
      <c r="K40" s="8"/>
    </row>
    <row r="41" spans="2:11" x14ac:dyDescent="0.25">
      <c r="B41" s="7"/>
      <c r="C41" s="1" t="s">
        <v>54</v>
      </c>
      <c r="G41" s="1" t="s">
        <v>55</v>
      </c>
      <c r="K41" s="8"/>
    </row>
    <row r="42" spans="2:11" x14ac:dyDescent="0.25">
      <c r="B42" s="7"/>
      <c r="C42" s="1" t="s">
        <v>56</v>
      </c>
      <c r="G42" s="1" t="s">
        <v>57</v>
      </c>
      <c r="K42" s="8"/>
    </row>
    <row r="43" spans="2:11" x14ac:dyDescent="0.25">
      <c r="B43" s="7"/>
      <c r="C43" s="1" t="s">
        <v>58</v>
      </c>
      <c r="G43" s="1" t="s">
        <v>59</v>
      </c>
      <c r="K43" s="8"/>
    </row>
    <row r="44" spans="2:11" x14ac:dyDescent="0.25">
      <c r="B44" s="7"/>
      <c r="C44" s="9" t="s">
        <v>60</v>
      </c>
      <c r="G44" s="9" t="s">
        <v>61</v>
      </c>
      <c r="K44" s="8"/>
    </row>
    <row r="45" spans="2:11" x14ac:dyDescent="0.25">
      <c r="B45" s="7"/>
      <c r="C45" s="1" t="s">
        <v>62</v>
      </c>
      <c r="G45" s="1" t="s">
        <v>63</v>
      </c>
      <c r="K45" s="8"/>
    </row>
    <row r="46" spans="2:11" x14ac:dyDescent="0.25">
      <c r="B46" s="10"/>
      <c r="C46" s="11"/>
      <c r="D46" s="11"/>
      <c r="E46" s="11"/>
      <c r="F46" s="11"/>
      <c r="G46" s="11"/>
      <c r="H46" s="11"/>
      <c r="I46" s="11"/>
      <c r="J46" s="11"/>
      <c r="K46" s="12"/>
    </row>
    <row r="50" spans="2:19" ht="36" x14ac:dyDescent="0.25">
      <c r="B50" s="138" t="s">
        <v>111</v>
      </c>
      <c r="C50" s="138"/>
      <c r="D50" s="138"/>
      <c r="E50" s="138"/>
      <c r="F50" s="138"/>
      <c r="G50" s="138"/>
      <c r="H50" s="138"/>
      <c r="I50" s="138"/>
      <c r="J50" s="138"/>
      <c r="K50" s="138"/>
      <c r="L50" s="138"/>
      <c r="M50" s="138"/>
    </row>
    <row r="51" spans="2:19" ht="65.25" customHeight="1" x14ac:dyDescent="0.25">
      <c r="B51" s="137" t="s">
        <v>218</v>
      </c>
      <c r="C51" s="137"/>
      <c r="D51" s="137"/>
      <c r="E51" s="137"/>
      <c r="F51" s="137"/>
      <c r="G51" s="137"/>
      <c r="H51" s="137"/>
      <c r="I51" s="137"/>
      <c r="J51" s="137"/>
      <c r="K51" s="137"/>
      <c r="L51" s="137"/>
      <c r="M51" s="137"/>
    </row>
    <row r="52" spans="2:19" x14ac:dyDescent="0.25">
      <c r="C52" s="76"/>
    </row>
    <row r="53" spans="2:19" ht="18.75" x14ac:dyDescent="0.25">
      <c r="B53" s="134" t="s">
        <v>219</v>
      </c>
      <c r="C53" s="135"/>
      <c r="D53" s="135"/>
      <c r="E53" s="135"/>
      <c r="F53" s="135"/>
      <c r="G53" s="135"/>
      <c r="H53" s="135"/>
      <c r="I53" s="136"/>
      <c r="J53" s="134" t="s">
        <v>220</v>
      </c>
      <c r="K53" s="135"/>
      <c r="L53" s="135"/>
      <c r="M53" s="135"/>
      <c r="O53" s="6" t="s">
        <v>47</v>
      </c>
      <c r="P53" s="6" t="s">
        <v>47</v>
      </c>
      <c r="Q53" s="6" t="s">
        <v>47</v>
      </c>
      <c r="R53" s="6" t="s">
        <v>47</v>
      </c>
      <c r="S53" s="6" t="s">
        <v>47</v>
      </c>
    </row>
    <row r="54" spans="2:19" ht="18.75" customHeight="1" x14ac:dyDescent="0.25">
      <c r="B54" s="120" t="s">
        <v>221</v>
      </c>
      <c r="C54" s="120"/>
      <c r="D54" s="120"/>
      <c r="E54" s="120"/>
      <c r="F54" s="120"/>
      <c r="G54" s="120"/>
      <c r="H54" s="120"/>
      <c r="I54" s="121"/>
      <c r="J54" s="118" t="s">
        <v>47</v>
      </c>
      <c r="K54" s="119"/>
      <c r="L54" s="119"/>
      <c r="M54" s="119"/>
      <c r="O54" s="6" t="s">
        <v>233</v>
      </c>
      <c r="P54" s="6" t="s">
        <v>238</v>
      </c>
      <c r="Q54" s="6" t="s">
        <v>243</v>
      </c>
      <c r="R54" s="6" t="s">
        <v>247</v>
      </c>
      <c r="S54" s="6" t="s">
        <v>43</v>
      </c>
    </row>
    <row r="55" spans="2:19" ht="18.75" customHeight="1" x14ac:dyDescent="0.25">
      <c r="B55" s="120" t="s">
        <v>222</v>
      </c>
      <c r="C55" s="120"/>
      <c r="D55" s="120"/>
      <c r="E55" s="120"/>
      <c r="F55" s="120"/>
      <c r="G55" s="120"/>
      <c r="H55" s="120"/>
      <c r="I55" s="121"/>
      <c r="J55" s="118" t="s">
        <v>47</v>
      </c>
      <c r="K55" s="119"/>
      <c r="L55" s="119"/>
      <c r="M55" s="119"/>
      <c r="O55" s="6" t="s">
        <v>234</v>
      </c>
      <c r="P55" s="6" t="s">
        <v>239</v>
      </c>
      <c r="Q55" s="6" t="s">
        <v>244</v>
      </c>
      <c r="R55" s="6" t="s">
        <v>248</v>
      </c>
      <c r="S55" s="6" t="s">
        <v>46</v>
      </c>
    </row>
    <row r="56" spans="2:19" ht="18.75" customHeight="1" x14ac:dyDescent="0.25">
      <c r="B56" s="120" t="s">
        <v>223</v>
      </c>
      <c r="C56" s="120"/>
      <c r="D56" s="120"/>
      <c r="E56" s="120"/>
      <c r="F56" s="120"/>
      <c r="G56" s="120"/>
      <c r="H56" s="120"/>
      <c r="I56" s="121"/>
      <c r="J56" s="118" t="s">
        <v>47</v>
      </c>
      <c r="K56" s="119"/>
      <c r="L56" s="119"/>
      <c r="M56" s="119"/>
      <c r="O56" s="6" t="s">
        <v>235</v>
      </c>
      <c r="P56" s="6" t="s">
        <v>240</v>
      </c>
      <c r="Q56" s="6" t="s">
        <v>245</v>
      </c>
      <c r="R56" s="6" t="s">
        <v>249</v>
      </c>
      <c r="S56" s="6"/>
    </row>
    <row r="57" spans="2:19" ht="30" customHeight="1" x14ac:dyDescent="0.25">
      <c r="B57" s="120" t="s">
        <v>224</v>
      </c>
      <c r="C57" s="120"/>
      <c r="D57" s="120"/>
      <c r="E57" s="120"/>
      <c r="F57" s="120"/>
      <c r="G57" s="120"/>
      <c r="H57" s="120"/>
      <c r="I57" s="121"/>
      <c r="J57" s="118" t="s">
        <v>47</v>
      </c>
      <c r="K57" s="119"/>
      <c r="L57" s="119"/>
      <c r="M57" s="119"/>
      <c r="O57" s="6"/>
      <c r="P57" s="6"/>
      <c r="Q57" s="6"/>
      <c r="R57" s="6" t="s">
        <v>250</v>
      </c>
      <c r="S57" s="6"/>
    </row>
    <row r="58" spans="2:19" ht="15" customHeight="1" x14ac:dyDescent="0.25">
      <c r="B58" s="122" t="s">
        <v>225</v>
      </c>
      <c r="C58" s="122"/>
      <c r="D58" s="122"/>
      <c r="E58" s="122"/>
      <c r="F58" s="122"/>
      <c r="G58" s="122"/>
      <c r="H58" s="122"/>
      <c r="I58" s="122"/>
      <c r="J58" s="122"/>
      <c r="K58" s="122"/>
      <c r="L58" s="122"/>
      <c r="M58" s="122"/>
    </row>
    <row r="59" spans="2:19" ht="18.75" customHeight="1" x14ac:dyDescent="0.25">
      <c r="B59" s="115" t="str">
        <f>'Feasibility Matrix'!E23</f>
        <v>Is traffic speed variability expected to occur?</v>
      </c>
      <c r="C59" s="115"/>
      <c r="D59" s="115"/>
      <c r="E59" s="115"/>
      <c r="F59" s="115"/>
      <c r="G59" s="115"/>
      <c r="H59" s="115"/>
      <c r="I59" s="116"/>
      <c r="J59" s="118" t="s">
        <v>47</v>
      </c>
      <c r="K59" s="119"/>
      <c r="L59" s="119"/>
      <c r="M59" s="119"/>
    </row>
    <row r="60" spans="2:19" ht="18.75" customHeight="1" x14ac:dyDescent="0.25">
      <c r="B60" s="115" t="str">
        <f>'Feasibility Matrix'!E24</f>
        <v>Do you expect back of queue and other sight distance issues?</v>
      </c>
      <c r="C60" s="115"/>
      <c r="D60" s="115"/>
      <c r="E60" s="115"/>
      <c r="F60" s="115"/>
      <c r="G60" s="115"/>
      <c r="H60" s="115"/>
      <c r="I60" s="116"/>
      <c r="J60" s="118" t="s">
        <v>47</v>
      </c>
      <c r="K60" s="119"/>
      <c r="L60" s="119"/>
      <c r="M60" s="119"/>
    </row>
    <row r="61" spans="2:19" ht="18.75" customHeight="1" x14ac:dyDescent="0.25">
      <c r="B61" s="115" t="str">
        <f>'Feasibility Matrix'!E25</f>
        <v>Are high speeds/chronic speeding expected to occur?</v>
      </c>
      <c r="C61" s="115"/>
      <c r="D61" s="115"/>
      <c r="E61" s="115"/>
      <c r="F61" s="115"/>
      <c r="G61" s="115"/>
      <c r="H61" s="115"/>
      <c r="I61" s="116"/>
      <c r="J61" s="118" t="s">
        <v>47</v>
      </c>
      <c r="K61" s="119"/>
      <c r="L61" s="119"/>
      <c r="M61" s="119"/>
    </row>
    <row r="62" spans="2:19" ht="18.75" customHeight="1" x14ac:dyDescent="0.25">
      <c r="B62" s="115" t="str">
        <f>'Feasibility Matrix'!E26</f>
        <v>Is driver diversion expected onto alternate routes?</v>
      </c>
      <c r="C62" s="115"/>
      <c r="D62" s="115"/>
      <c r="E62" s="115"/>
      <c r="F62" s="115"/>
      <c r="G62" s="115"/>
      <c r="H62" s="115"/>
      <c r="I62" s="116"/>
      <c r="J62" s="118" t="s">
        <v>47</v>
      </c>
      <c r="K62" s="119"/>
      <c r="L62" s="119"/>
      <c r="M62" s="119"/>
    </row>
    <row r="63" spans="2:19" ht="18.75" customHeight="1" x14ac:dyDescent="0.25">
      <c r="B63" s="115" t="str">
        <f>'Feasibility Matrix'!E27</f>
        <v>Are merging conflicts and hazards at work zone tapers expected to occur?</v>
      </c>
      <c r="C63" s="115"/>
      <c r="D63" s="115"/>
      <c r="E63" s="115"/>
      <c r="F63" s="115"/>
      <c r="G63" s="115"/>
      <c r="H63" s="115"/>
      <c r="I63" s="116"/>
      <c r="J63" s="118" t="s">
        <v>47</v>
      </c>
      <c r="K63" s="119"/>
      <c r="L63" s="119"/>
      <c r="M63" s="119"/>
    </row>
    <row r="64" spans="2:19" ht="18.75" customHeight="1" x14ac:dyDescent="0.25">
      <c r="B64" s="115" t="str">
        <f>'Feasibility Matrix'!E28</f>
        <v>Do you expect the work zone layout to cause driver vonfusion or trouble wayfinding?</v>
      </c>
      <c r="C64" s="115"/>
      <c r="D64" s="115"/>
      <c r="E64" s="115"/>
      <c r="F64" s="115"/>
      <c r="G64" s="115"/>
      <c r="H64" s="115"/>
      <c r="I64" s="116"/>
      <c r="J64" s="118" t="s">
        <v>47</v>
      </c>
      <c r="K64" s="119"/>
      <c r="L64" s="119"/>
      <c r="M64" s="119"/>
    </row>
    <row r="65" spans="2:13" ht="18.75" customHeight="1" x14ac:dyDescent="0.25">
      <c r="B65" s="115" t="str">
        <f>'Feasibility Matrix'!E29</f>
        <v>Will frequently changing operating conditions for traffic be used?</v>
      </c>
      <c r="C65" s="115"/>
      <c r="D65" s="115"/>
      <c r="E65" s="115"/>
      <c r="F65" s="115"/>
      <c r="G65" s="115"/>
      <c r="H65" s="115"/>
      <c r="I65" s="116"/>
      <c r="J65" s="118" t="s">
        <v>47</v>
      </c>
      <c r="K65" s="119"/>
      <c r="L65" s="119"/>
      <c r="M65" s="119"/>
    </row>
    <row r="66" spans="2:13" ht="18.75" customHeight="1" x14ac:dyDescent="0.25">
      <c r="B66" s="115" t="str">
        <f>'Feasibility Matrix'!E30</f>
        <v>Will variable work activities occur?</v>
      </c>
      <c r="C66" s="115"/>
      <c r="D66" s="115"/>
      <c r="E66" s="115"/>
      <c r="F66" s="115"/>
      <c r="G66" s="115"/>
      <c r="H66" s="115"/>
      <c r="I66" s="116"/>
      <c r="J66" s="118" t="s">
        <v>47</v>
      </c>
      <c r="K66" s="119"/>
      <c r="L66" s="119"/>
      <c r="M66" s="119"/>
    </row>
    <row r="67" spans="2:13" ht="18.75" customHeight="1" x14ac:dyDescent="0.25">
      <c r="B67" s="115" t="str">
        <f>'Feasibility Matrix'!E31</f>
        <v>Are oversize vehicles expected?</v>
      </c>
      <c r="C67" s="115"/>
      <c r="D67" s="115"/>
      <c r="E67" s="115"/>
      <c r="F67" s="115"/>
      <c r="G67" s="115"/>
      <c r="H67" s="115"/>
      <c r="I67" s="116"/>
      <c r="J67" s="118" t="s">
        <v>47</v>
      </c>
      <c r="K67" s="119"/>
      <c r="L67" s="119"/>
      <c r="M67" s="119"/>
    </row>
    <row r="68" spans="2:13" ht="18.75" customHeight="1" x14ac:dyDescent="0.25">
      <c r="B68" s="115" t="str">
        <f>'Feasibility Matrix'!E32</f>
        <v>Do you expect a contruction vehicle entry/exit speed differential relative to traffic?</v>
      </c>
      <c r="C68" s="115"/>
      <c r="D68" s="115"/>
      <c r="E68" s="115"/>
      <c r="F68" s="115"/>
      <c r="G68" s="115"/>
      <c r="H68" s="115"/>
      <c r="I68" s="116"/>
      <c r="J68" s="118" t="s">
        <v>47</v>
      </c>
      <c r="K68" s="119"/>
      <c r="L68" s="119"/>
      <c r="M68" s="119"/>
    </row>
    <row r="69" spans="2:13" ht="18.75" customHeight="1" x14ac:dyDescent="0.25">
      <c r="B69" s="115" t="str">
        <f>'Feasibility Matrix'!E33</f>
        <v>Will data be collected for work zone performance measures?</v>
      </c>
      <c r="C69" s="115"/>
      <c r="D69" s="115"/>
      <c r="E69" s="115"/>
      <c r="F69" s="115"/>
      <c r="G69" s="115"/>
      <c r="H69" s="115"/>
      <c r="I69" s="116"/>
      <c r="J69" s="118" t="s">
        <v>47</v>
      </c>
      <c r="K69" s="119"/>
      <c r="L69" s="119"/>
      <c r="M69" s="119"/>
    </row>
    <row r="70" spans="2:13" ht="18.75" customHeight="1" x14ac:dyDescent="0.25">
      <c r="B70" s="115" t="str">
        <f>'Feasibility Matrix'!E34</f>
        <v>Do you expect any unusual or unpredictable weather patterns to occur?</v>
      </c>
      <c r="C70" s="115"/>
      <c r="D70" s="115"/>
      <c r="E70" s="115"/>
      <c r="F70" s="115"/>
      <c r="G70" s="115"/>
      <c r="H70" s="115"/>
      <c r="I70" s="116"/>
      <c r="J70" s="118" t="s">
        <v>47</v>
      </c>
      <c r="K70" s="119"/>
      <c r="L70" s="119"/>
      <c r="M70" s="119"/>
    </row>
    <row r="71" spans="2:13" x14ac:dyDescent="0.25">
      <c r="C71" s="76"/>
    </row>
    <row r="72" spans="2:13" ht="18.75" x14ac:dyDescent="0.3">
      <c r="B72" s="117" t="s">
        <v>226</v>
      </c>
      <c r="C72" s="117"/>
      <c r="D72" s="117"/>
      <c r="E72" s="117"/>
      <c r="F72" s="117"/>
      <c r="G72" s="117"/>
      <c r="H72" s="117"/>
      <c r="I72" s="117"/>
      <c r="J72" s="117"/>
      <c r="K72" s="117"/>
      <c r="L72" s="117"/>
      <c r="M72" s="117"/>
    </row>
    <row r="73" spans="2:13" ht="90" customHeight="1" x14ac:dyDescent="0.25">
      <c r="B73" s="139" t="str">
        <f>'Feasibility Matrix'!D40</f>
        <v>ITS may not provide enough benefit to justify the associated costs</v>
      </c>
      <c r="C73" s="139"/>
      <c r="D73" s="139"/>
      <c r="E73" s="139"/>
      <c r="F73" s="139"/>
      <c r="G73" s="139"/>
      <c r="H73" s="139"/>
      <c r="I73" s="139"/>
      <c r="J73" s="139"/>
      <c r="K73" s="139"/>
      <c r="L73" s="139"/>
      <c r="M73" s="139"/>
    </row>
  </sheetData>
  <sheetProtection sheet="1" objects="1" scenarios="1"/>
  <mergeCells count="48">
    <mergeCell ref="B73:M73"/>
    <mergeCell ref="J68:M68"/>
    <mergeCell ref="J69:M69"/>
    <mergeCell ref="J70:M70"/>
    <mergeCell ref="B59:I59"/>
    <mergeCell ref="B60:I60"/>
    <mergeCell ref="B61:I61"/>
    <mergeCell ref="B62:I62"/>
    <mergeCell ref="B63:I63"/>
    <mergeCell ref="B64:I64"/>
    <mergeCell ref="J62:M62"/>
    <mergeCell ref="J63:M63"/>
    <mergeCell ref="J64:M64"/>
    <mergeCell ref="B65:I65"/>
    <mergeCell ref="B66:I66"/>
    <mergeCell ref="J61:M61"/>
    <mergeCell ref="B54:I54"/>
    <mergeCell ref="B55:I55"/>
    <mergeCell ref="B57:I57"/>
    <mergeCell ref="C2:K3"/>
    <mergeCell ref="C4:K7"/>
    <mergeCell ref="C8:J11"/>
    <mergeCell ref="C13:J17"/>
    <mergeCell ref="C19:J21"/>
    <mergeCell ref="C29:J29"/>
    <mergeCell ref="C30:J30"/>
    <mergeCell ref="C32:J33"/>
    <mergeCell ref="C36:J38"/>
    <mergeCell ref="B53:I53"/>
    <mergeCell ref="B51:M51"/>
    <mergeCell ref="J53:M53"/>
    <mergeCell ref="B50:M50"/>
    <mergeCell ref="B67:I67"/>
    <mergeCell ref="B72:M72"/>
    <mergeCell ref="J55:M55"/>
    <mergeCell ref="J56:M56"/>
    <mergeCell ref="J54:M54"/>
    <mergeCell ref="B56:I56"/>
    <mergeCell ref="B68:I68"/>
    <mergeCell ref="B69:I69"/>
    <mergeCell ref="B70:I70"/>
    <mergeCell ref="J65:M65"/>
    <mergeCell ref="J66:M66"/>
    <mergeCell ref="J67:M67"/>
    <mergeCell ref="J57:M57"/>
    <mergeCell ref="B58:M58"/>
    <mergeCell ref="J59:M59"/>
    <mergeCell ref="J60:M60"/>
  </mergeCells>
  <conditionalFormatting sqref="J54:M54 J59:J70">
    <cfRule type="containsText" dxfId="39" priority="10" operator="containsText" text="Select from menu">
      <formula>NOT(ISERROR(SEARCH("Select from menu",J54)))</formula>
    </cfRule>
  </conditionalFormatting>
  <conditionalFormatting sqref="J59:J70">
    <cfRule type="containsText" dxfId="38" priority="2" operator="containsText" text="yes">
      <formula>NOT(ISERROR(SEARCH("yes",J59)))</formula>
    </cfRule>
    <cfRule type="containsText" dxfId="37" priority="3" operator="containsText" text="no">
      <formula>NOT(ISERROR(SEARCH("no",J59)))</formula>
    </cfRule>
  </conditionalFormatting>
  <conditionalFormatting sqref="J55:M57">
    <cfRule type="containsText" dxfId="36" priority="1" operator="containsText" text="Select from menu">
      <formula>NOT(ISERROR(SEARCH("Select from menu",J55)))</formula>
    </cfRule>
  </conditionalFormatting>
  <dataValidations count="5">
    <dataValidation type="list" showInputMessage="1" showErrorMessage="1" sqref="J54:M54" xr:uid="{CE11A728-0B89-4131-8191-3DA9E9596D31}">
      <formula1>$O$53:$O$56</formula1>
    </dataValidation>
    <dataValidation type="list" showInputMessage="1" showErrorMessage="1" sqref="J55:M55" xr:uid="{4D89D79A-9540-4E05-B601-FEAF7F2DA046}">
      <formula1>$P$53:$P$56</formula1>
    </dataValidation>
    <dataValidation type="list" showInputMessage="1" showErrorMessage="1" sqref="J56:M56" xr:uid="{5C7E99CD-96CE-4AD1-BC46-78A40E954AA8}">
      <formula1>$Q$53:$Q$56</formula1>
    </dataValidation>
    <dataValidation type="list" showInputMessage="1" showErrorMessage="1" sqref="J57:M57" xr:uid="{63A0CBB2-B221-4D8C-911C-CF16DB7E9E17}">
      <formula1>$R$53:$R$57</formula1>
    </dataValidation>
    <dataValidation type="list" showInputMessage="1" showErrorMessage="1" sqref="J59:M70" xr:uid="{62F00531-5D8D-4C5C-B790-3889143EC0F7}">
      <formula1>$S$53:$S$55</formula1>
    </dataValidation>
  </dataValidations>
  <hyperlinks>
    <hyperlink ref="G44" r:id="rId1" xr:uid="{7883933A-9521-4CFC-AE3E-102C66E9582F}"/>
    <hyperlink ref="C44" r:id="rId2" xr:uid="{80434E01-5248-424A-B582-D339877A833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2295" r:id="rId6" name="Button 7">
              <controlPr defaultSize="0" print="0" autoFill="0" autoPict="0" macro="[0]!Sheet8.ClearResponses">
                <anchor moveWithCells="1" sizeWithCells="1">
                  <from>
                    <xdr:col>13</xdr:col>
                    <xdr:colOff>142875</xdr:colOff>
                    <xdr:row>50</xdr:row>
                    <xdr:rowOff>104775</xdr:rowOff>
                  </from>
                  <to>
                    <xdr:col>15</xdr:col>
                    <xdr:colOff>66675</xdr:colOff>
                    <xdr:row>50</xdr:row>
                    <xdr:rowOff>695325</xdr:rowOff>
                  </to>
                </anchor>
              </controlPr>
            </control>
          </mc:Choice>
        </mc:AlternateContent>
        <mc:AlternateContent xmlns:mc="http://schemas.openxmlformats.org/markup-compatibility/2006">
          <mc:Choice Requires="x14">
            <control shapeId="12296" r:id="rId7" name="Button 8">
              <controlPr defaultSize="0" print="0" autoFill="0" autoPict="0" macro="[0]!Sheet8.ViewScoringMatrix">
                <anchor moveWithCells="1" sizeWithCells="1">
                  <from>
                    <xdr:col>15</xdr:col>
                    <xdr:colOff>171450</xdr:colOff>
                    <xdr:row>50</xdr:row>
                    <xdr:rowOff>114300</xdr:rowOff>
                  </from>
                  <to>
                    <xdr:col>16</xdr:col>
                    <xdr:colOff>561975</xdr:colOff>
                    <xdr:row>50</xdr:row>
                    <xdr:rowOff>695325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2EACA-F11D-4E4E-A923-DD0498E4594B}">
  <sheetPr codeName="Sheet9">
    <tabColor theme="7" tint="0.79998168889431442"/>
  </sheetPr>
  <dimension ref="B2:Z40"/>
  <sheetViews>
    <sheetView tabSelected="1" zoomScale="70" zoomScaleNormal="70" workbookViewId="0">
      <selection activeCell="L28" sqref="L28"/>
    </sheetView>
  </sheetViews>
  <sheetFormatPr defaultColWidth="9.140625" defaultRowHeight="15" x14ac:dyDescent="0.25"/>
  <cols>
    <col min="1" max="2" width="3.140625" style="1" customWidth="1"/>
    <col min="3" max="3" width="14.7109375" style="1" customWidth="1"/>
    <col min="4" max="4" width="26" style="1" customWidth="1"/>
    <col min="5" max="5" width="65.7109375" style="1" customWidth="1"/>
    <col min="6" max="6" width="7.7109375" style="1" customWidth="1"/>
    <col min="7" max="7" width="12.28515625" style="1" bestFit="1" customWidth="1"/>
    <col min="8" max="8" width="8.42578125" style="1" bestFit="1" customWidth="1"/>
    <col min="9" max="16384" width="9.140625" style="1"/>
  </cols>
  <sheetData>
    <row r="2" spans="2:20" ht="54" customHeight="1" x14ac:dyDescent="0.25">
      <c r="B2" s="143" t="s">
        <v>227</v>
      </c>
      <c r="C2" s="143"/>
      <c r="D2" s="143"/>
      <c r="E2" s="143"/>
      <c r="F2" s="143"/>
      <c r="G2" s="143"/>
      <c r="H2" s="143"/>
      <c r="N2" s="140" t="s">
        <v>293</v>
      </c>
      <c r="O2" s="140"/>
      <c r="P2" s="140"/>
      <c r="Q2" s="140"/>
      <c r="R2" s="140"/>
      <c r="S2" s="140"/>
      <c r="T2" s="114"/>
    </row>
    <row r="3" spans="2:20" ht="27.75" customHeight="1" thickBot="1" x14ac:dyDescent="0.3">
      <c r="N3" s="140"/>
      <c r="O3" s="140"/>
      <c r="P3" s="140"/>
      <c r="Q3" s="140"/>
      <c r="R3" s="140"/>
      <c r="S3" s="140"/>
      <c r="T3" s="114"/>
    </row>
    <row r="4" spans="2:20" ht="19.149999999999999" customHeight="1" thickTop="1" thickBot="1" x14ac:dyDescent="0.35">
      <c r="B4" s="144" t="s">
        <v>228</v>
      </c>
      <c r="C4" s="145"/>
      <c r="D4" s="94" t="s">
        <v>31</v>
      </c>
      <c r="E4" s="95" t="s">
        <v>229</v>
      </c>
      <c r="F4" s="96" t="s">
        <v>49</v>
      </c>
      <c r="G4" s="97" t="s">
        <v>230</v>
      </c>
      <c r="H4" s="98" t="s">
        <v>231</v>
      </c>
      <c r="N4" s="140"/>
      <c r="O4" s="140"/>
      <c r="P4" s="140"/>
      <c r="Q4" s="140"/>
      <c r="R4" s="140"/>
      <c r="S4" s="140"/>
      <c r="T4" s="114"/>
    </row>
    <row r="5" spans="2:20" ht="16.5" thickTop="1" thickBot="1" x14ac:dyDescent="0.3">
      <c r="B5" s="99">
        <v>1</v>
      </c>
      <c r="C5" s="111" t="s">
        <v>232</v>
      </c>
      <c r="D5" s="111"/>
      <c r="E5" s="111"/>
      <c r="F5" s="111"/>
      <c r="G5" s="111"/>
      <c r="H5" s="112"/>
      <c r="N5" s="140"/>
      <c r="O5" s="140"/>
      <c r="P5" s="140"/>
      <c r="Q5" s="140"/>
      <c r="R5" s="140"/>
      <c r="S5" s="140"/>
      <c r="T5" s="114"/>
    </row>
    <row r="6" spans="2:20" ht="15" customHeight="1" thickTop="1" thickBot="1" x14ac:dyDescent="0.3">
      <c r="B6" s="146"/>
      <c r="C6" s="147" t="s">
        <v>262</v>
      </c>
      <c r="D6" s="147"/>
      <c r="E6" s="100" t="s">
        <v>233</v>
      </c>
      <c r="F6" s="101">
        <v>8</v>
      </c>
      <c r="G6" s="102" t="str">
        <f>IF('Feasibility Wizard'!$J$54=E6,"Yes","No")</f>
        <v>No</v>
      </c>
      <c r="H6" s="150">
        <f>SUMPRODUCT(F6:F8,I6:I8)</f>
        <v>0</v>
      </c>
      <c r="I6" s="6">
        <f>IF(G6="Yes",1,0)</f>
        <v>0</v>
      </c>
      <c r="N6" s="140"/>
      <c r="O6" s="140"/>
      <c r="P6" s="140"/>
      <c r="Q6" s="140"/>
      <c r="R6" s="140"/>
      <c r="S6" s="140"/>
      <c r="T6" s="114"/>
    </row>
    <row r="7" spans="2:20" ht="16.5" thickTop="1" thickBot="1" x14ac:dyDescent="0.3">
      <c r="B7" s="146"/>
      <c r="C7" s="148"/>
      <c r="D7" s="148"/>
      <c r="E7" s="100" t="s">
        <v>234</v>
      </c>
      <c r="F7" s="101">
        <v>5</v>
      </c>
      <c r="G7" s="102" t="str">
        <f>IF('Feasibility Wizard'!$J$54=E7,"Yes","No")</f>
        <v>No</v>
      </c>
      <c r="H7" s="150"/>
      <c r="I7" s="6">
        <f>IF(G7="Yes",1,0)</f>
        <v>0</v>
      </c>
      <c r="Q7" s="114"/>
      <c r="R7" s="114"/>
    </row>
    <row r="8" spans="2:20" ht="16.5" thickTop="1" thickBot="1" x14ac:dyDescent="0.3">
      <c r="B8" s="146"/>
      <c r="C8" s="149"/>
      <c r="D8" s="149"/>
      <c r="E8" s="100" t="s">
        <v>235</v>
      </c>
      <c r="F8" s="101">
        <v>1</v>
      </c>
      <c r="G8" s="102" t="str">
        <f>IF('Feasibility Wizard'!$J$54=E8,"Yes","No")</f>
        <v>No</v>
      </c>
      <c r="H8" s="150"/>
      <c r="I8" s="6">
        <f>IF(G8="Yes",1,0)</f>
        <v>0</v>
      </c>
      <c r="Q8" s="114"/>
      <c r="R8" s="114"/>
    </row>
    <row r="9" spans="2:20" ht="16.5" thickTop="1" thickBot="1" x14ac:dyDescent="0.3">
      <c r="B9" s="99">
        <v>2</v>
      </c>
      <c r="C9" s="141" t="s">
        <v>236</v>
      </c>
      <c r="D9" s="141"/>
      <c r="E9" s="141"/>
      <c r="F9" s="141"/>
      <c r="G9" s="141"/>
      <c r="H9" s="142"/>
      <c r="I9" s="6"/>
      <c r="J9" s="114"/>
      <c r="K9" s="114"/>
      <c r="L9" s="114"/>
      <c r="M9" s="114"/>
      <c r="N9" s="114"/>
      <c r="O9" s="114"/>
      <c r="P9" s="114"/>
      <c r="Q9" s="114"/>
      <c r="R9" s="114"/>
    </row>
    <row r="10" spans="2:20" ht="15" customHeight="1" thickTop="1" thickBot="1" x14ac:dyDescent="0.3">
      <c r="B10" s="146"/>
      <c r="C10" s="147" t="s">
        <v>237</v>
      </c>
      <c r="D10" s="147"/>
      <c r="E10" s="100" t="s">
        <v>238</v>
      </c>
      <c r="F10" s="101">
        <v>8</v>
      </c>
      <c r="G10" s="102" t="str">
        <f>IF('Feasibility Wizard'!$J$55=E10,"Yes", "No")</f>
        <v>No</v>
      </c>
      <c r="H10" s="150">
        <f>SUMPRODUCT(F10:F12,I10:I12)</f>
        <v>0</v>
      </c>
      <c r="I10" s="6">
        <f>IF(G10="Yes",1,0)</f>
        <v>0</v>
      </c>
      <c r="J10" s="114"/>
      <c r="K10" s="114"/>
      <c r="L10" s="114"/>
      <c r="M10" s="114"/>
      <c r="N10" s="114"/>
      <c r="O10" s="114"/>
      <c r="P10" s="114"/>
      <c r="Q10" s="114"/>
      <c r="R10" s="114"/>
    </row>
    <row r="11" spans="2:20" ht="16.5" thickTop="1" thickBot="1" x14ac:dyDescent="0.3">
      <c r="B11" s="146"/>
      <c r="C11" s="148"/>
      <c r="D11" s="148"/>
      <c r="E11" s="100" t="s">
        <v>239</v>
      </c>
      <c r="F11" s="101">
        <v>5</v>
      </c>
      <c r="G11" s="102" t="str">
        <f>IF('Feasibility Wizard'!$J$55=E11,"Yes", "No")</f>
        <v>No</v>
      </c>
      <c r="H11" s="150"/>
      <c r="I11" s="6">
        <f>IF(G11="Yes",1,0)</f>
        <v>0</v>
      </c>
    </row>
    <row r="12" spans="2:20" ht="16.5" thickTop="1" thickBot="1" x14ac:dyDescent="0.3">
      <c r="B12" s="146"/>
      <c r="C12" s="149"/>
      <c r="D12" s="149"/>
      <c r="E12" s="100" t="s">
        <v>240</v>
      </c>
      <c r="F12" s="101">
        <v>1</v>
      </c>
      <c r="G12" s="102" t="str">
        <f>IF('Feasibility Wizard'!$J$55=E12,"Yes", "No")</f>
        <v>No</v>
      </c>
      <c r="H12" s="150"/>
      <c r="I12" s="6">
        <f>IF(G12="Yes",1,0)</f>
        <v>0</v>
      </c>
    </row>
    <row r="13" spans="2:20" ht="16.5" thickTop="1" thickBot="1" x14ac:dyDescent="0.3">
      <c r="B13" s="99">
        <v>3</v>
      </c>
      <c r="C13" s="141" t="s">
        <v>241</v>
      </c>
      <c r="D13" s="141"/>
      <c r="E13" s="141"/>
      <c r="F13" s="141"/>
      <c r="G13" s="141"/>
      <c r="H13" s="142"/>
      <c r="I13" s="6"/>
    </row>
    <row r="14" spans="2:20" ht="15" customHeight="1" thickTop="1" thickBot="1" x14ac:dyDescent="0.3">
      <c r="B14" s="146"/>
      <c r="C14" s="151" t="s">
        <v>242</v>
      </c>
      <c r="D14" s="151"/>
      <c r="E14" s="100" t="s">
        <v>243</v>
      </c>
      <c r="F14" s="101">
        <v>8</v>
      </c>
      <c r="G14" s="102" t="str">
        <f>IF('Feasibility Wizard'!$J$56=E14,"Yes","No")</f>
        <v>No</v>
      </c>
      <c r="H14" s="150">
        <f>SUMPRODUCT(F14:F16,I14:I16)</f>
        <v>0</v>
      </c>
      <c r="I14" s="6">
        <f>IF(G14="Yes",1,0)</f>
        <v>0</v>
      </c>
    </row>
    <row r="15" spans="2:20" ht="16.5" thickTop="1" thickBot="1" x14ac:dyDescent="0.3">
      <c r="B15" s="146"/>
      <c r="C15" s="151"/>
      <c r="D15" s="151"/>
      <c r="E15" s="100" t="s">
        <v>244</v>
      </c>
      <c r="F15" s="101">
        <v>5</v>
      </c>
      <c r="G15" s="102" t="str">
        <f>IF('Feasibility Wizard'!$J$56=E15,"Yes","No")</f>
        <v>No</v>
      </c>
      <c r="H15" s="150"/>
      <c r="I15" s="6">
        <f>IF(G15="Yes",1,0)</f>
        <v>0</v>
      </c>
    </row>
    <row r="16" spans="2:20" ht="16.5" thickTop="1" thickBot="1" x14ac:dyDescent="0.3">
      <c r="B16" s="146"/>
      <c r="C16" s="151"/>
      <c r="D16" s="151"/>
      <c r="E16" s="100" t="s">
        <v>245</v>
      </c>
      <c r="F16" s="101">
        <v>1</v>
      </c>
      <c r="G16" s="102" t="str">
        <f>IF('Feasibility Wizard'!$J$56=E16,"Yes","No")</f>
        <v>No</v>
      </c>
      <c r="H16" s="150"/>
      <c r="I16" s="6">
        <f>IF(G16="Yes",1,0)</f>
        <v>0</v>
      </c>
    </row>
    <row r="17" spans="2:26" ht="16.5" thickTop="1" thickBot="1" x14ac:dyDescent="0.3">
      <c r="B17" s="99">
        <v>4</v>
      </c>
      <c r="C17" s="141" t="s">
        <v>246</v>
      </c>
      <c r="D17" s="141"/>
      <c r="E17" s="141"/>
      <c r="F17" s="141"/>
      <c r="G17" s="141"/>
      <c r="H17" s="142"/>
      <c r="I17" s="6"/>
    </row>
    <row r="18" spans="2:26" ht="15" customHeight="1" thickTop="1" thickBot="1" x14ac:dyDescent="0.3">
      <c r="B18" s="146"/>
      <c r="C18" s="151" t="s">
        <v>277</v>
      </c>
      <c r="D18" s="151"/>
      <c r="E18" s="100" t="s">
        <v>247</v>
      </c>
      <c r="F18" s="101">
        <v>6</v>
      </c>
      <c r="G18" s="102" t="str">
        <f>IF('Feasibility Wizard'!$J$57=E18,"Yes","No")</f>
        <v>No</v>
      </c>
      <c r="H18" s="150">
        <f>SUMPRODUCT(F18:F21,I18:I21)</f>
        <v>0</v>
      </c>
      <c r="I18" s="6">
        <f>IF(G18="Yes",1,0)</f>
        <v>0</v>
      </c>
    </row>
    <row r="19" spans="2:26" ht="15.6" customHeight="1" thickTop="1" thickBot="1" x14ac:dyDescent="0.3">
      <c r="B19" s="146"/>
      <c r="C19" s="151"/>
      <c r="D19" s="151"/>
      <c r="E19" s="100" t="s">
        <v>248</v>
      </c>
      <c r="F19" s="101">
        <v>3</v>
      </c>
      <c r="G19" s="102" t="str">
        <f>IF('Feasibility Wizard'!$J$57=E19,"Yes","No")</f>
        <v>No</v>
      </c>
      <c r="H19" s="150"/>
      <c r="I19" s="6">
        <f>IF(G19="Yes",1,0)</f>
        <v>0</v>
      </c>
    </row>
    <row r="20" spans="2:26" ht="16.5" thickTop="1" thickBot="1" x14ac:dyDescent="0.3">
      <c r="B20" s="146"/>
      <c r="C20" s="151"/>
      <c r="D20" s="151"/>
      <c r="E20" s="100" t="s">
        <v>249</v>
      </c>
      <c r="F20" s="101">
        <v>1</v>
      </c>
      <c r="G20" s="102" t="str">
        <f>IF('Feasibility Wizard'!$J$57=E20,"Yes","No")</f>
        <v>No</v>
      </c>
      <c r="H20" s="150"/>
      <c r="I20" s="6">
        <f>IF(G20="Yes",1,0)</f>
        <v>0</v>
      </c>
    </row>
    <row r="21" spans="2:26" ht="16.5" thickTop="1" thickBot="1" x14ac:dyDescent="0.3">
      <c r="B21" s="146"/>
      <c r="C21" s="151"/>
      <c r="D21" s="151"/>
      <c r="E21" s="103" t="s">
        <v>250</v>
      </c>
      <c r="F21" s="101">
        <v>0</v>
      </c>
      <c r="G21" s="102" t="str">
        <f>IF('Feasibility Wizard'!$J$57=E21,"Yes","No")</f>
        <v>No</v>
      </c>
      <c r="H21" s="150"/>
      <c r="I21" s="6">
        <f>IF(G21="Yes",1,0)</f>
        <v>0</v>
      </c>
    </row>
    <row r="22" spans="2:26" ht="16.5" thickTop="1" thickBot="1" x14ac:dyDescent="0.3">
      <c r="B22" s="99">
        <v>5</v>
      </c>
      <c r="C22" s="141" t="s">
        <v>251</v>
      </c>
      <c r="D22" s="141"/>
      <c r="E22" s="141"/>
      <c r="F22" s="141"/>
      <c r="G22" s="141"/>
      <c r="H22" s="142"/>
    </row>
    <row r="23" spans="2:26" ht="15" customHeight="1" thickTop="1" thickBot="1" x14ac:dyDescent="0.3">
      <c r="B23" s="146"/>
      <c r="C23" s="151" t="s">
        <v>252</v>
      </c>
      <c r="D23" s="151"/>
      <c r="E23" s="100" t="s">
        <v>278</v>
      </c>
      <c r="F23" s="101">
        <v>1</v>
      </c>
      <c r="G23" s="102" t="str">
        <f>IF('Feasibility Wizard'!J59="Yes","Yes","No")</f>
        <v>No</v>
      </c>
      <c r="H23" s="150">
        <f>SUMPRODUCT(F23:F34,I23:I34)</f>
        <v>0</v>
      </c>
      <c r="I23" s="6">
        <f>IF(G23="Yes",1,0)</f>
        <v>0</v>
      </c>
    </row>
    <row r="24" spans="2:26" ht="16.5" thickTop="1" thickBot="1" x14ac:dyDescent="0.3">
      <c r="B24" s="146"/>
      <c r="C24" s="151"/>
      <c r="D24" s="151"/>
      <c r="E24" s="100" t="s">
        <v>279</v>
      </c>
      <c r="F24" s="101">
        <v>3</v>
      </c>
      <c r="G24" s="102" t="str">
        <f>IF('Feasibility Wizard'!J60="Yes","Yes","No")</f>
        <v>No</v>
      </c>
      <c r="H24" s="150"/>
      <c r="I24" s="6">
        <f t="shared" ref="I24:I34" si="0">IF(G24="Yes",1,0)</f>
        <v>0</v>
      </c>
    </row>
    <row r="25" spans="2:26" ht="16.5" thickTop="1" thickBot="1" x14ac:dyDescent="0.3">
      <c r="B25" s="146"/>
      <c r="C25" s="151"/>
      <c r="D25" s="151"/>
      <c r="E25" s="100" t="s">
        <v>280</v>
      </c>
      <c r="F25" s="101">
        <v>2</v>
      </c>
      <c r="G25" s="102" t="str">
        <f>IF('Feasibility Wizard'!J61="Yes","Yes","No")</f>
        <v>No</v>
      </c>
      <c r="H25" s="150"/>
      <c r="I25" s="6">
        <f t="shared" si="0"/>
        <v>0</v>
      </c>
    </row>
    <row r="26" spans="2:26" ht="16.5" thickTop="1" thickBot="1" x14ac:dyDescent="0.3">
      <c r="B26" s="146"/>
      <c r="C26" s="151"/>
      <c r="D26" s="151"/>
      <c r="E26" s="100" t="s">
        <v>33</v>
      </c>
      <c r="F26" s="101">
        <v>1</v>
      </c>
      <c r="G26" s="102" t="str">
        <f>IF('Feasibility Wizard'!J62="Yes","Yes","No")</f>
        <v>No</v>
      </c>
      <c r="H26" s="150"/>
      <c r="I26" s="6">
        <f t="shared" si="0"/>
        <v>0</v>
      </c>
    </row>
    <row r="27" spans="2:26" ht="31.5" thickTop="1" thickBot="1" x14ac:dyDescent="0.3">
      <c r="B27" s="146"/>
      <c r="C27" s="151"/>
      <c r="D27" s="151"/>
      <c r="E27" s="100" t="s">
        <v>281</v>
      </c>
      <c r="F27" s="101">
        <v>3</v>
      </c>
      <c r="G27" s="102" t="str">
        <f>IF('Feasibility Wizard'!J63="Yes","Yes","No")</f>
        <v>No</v>
      </c>
      <c r="H27" s="150"/>
      <c r="I27" s="6">
        <f t="shared" si="0"/>
        <v>0</v>
      </c>
    </row>
    <row r="28" spans="2:26" ht="31.5" thickTop="1" thickBot="1" x14ac:dyDescent="0.3">
      <c r="B28" s="146"/>
      <c r="C28" s="151"/>
      <c r="D28" s="151"/>
      <c r="E28" s="100" t="s">
        <v>282</v>
      </c>
      <c r="F28" s="101">
        <v>3</v>
      </c>
      <c r="G28" s="102" t="str">
        <f>IF('Feasibility Wizard'!J64="Yes","Yes","No")</f>
        <v>No</v>
      </c>
      <c r="H28" s="150"/>
      <c r="I28" s="6">
        <f t="shared" si="0"/>
        <v>0</v>
      </c>
    </row>
    <row r="29" spans="2:26" ht="16.5" thickTop="1" thickBot="1" x14ac:dyDescent="0.3">
      <c r="B29" s="146"/>
      <c r="C29" s="151"/>
      <c r="D29" s="151"/>
      <c r="E29" s="100" t="s">
        <v>283</v>
      </c>
      <c r="F29" s="101">
        <v>3</v>
      </c>
      <c r="G29" s="102" t="str">
        <f>IF('Feasibility Wizard'!J65="Yes","Yes","No")</f>
        <v>No</v>
      </c>
      <c r="H29" s="150"/>
      <c r="I29" s="6">
        <f t="shared" si="0"/>
        <v>0</v>
      </c>
    </row>
    <row r="30" spans="2:26" ht="16.5" thickTop="1" thickBot="1" x14ac:dyDescent="0.3">
      <c r="B30" s="146"/>
      <c r="C30" s="151"/>
      <c r="D30" s="151"/>
      <c r="E30" s="100" t="s">
        <v>284</v>
      </c>
      <c r="F30" s="101">
        <v>3</v>
      </c>
      <c r="G30" s="102" t="str">
        <f>IF('Feasibility Wizard'!J66="Yes","Yes","No")</f>
        <v>No</v>
      </c>
      <c r="H30" s="150"/>
      <c r="I30" s="6">
        <f t="shared" si="0"/>
        <v>0</v>
      </c>
      <c r="J30" s="114"/>
      <c r="K30" s="114"/>
      <c r="L30" s="114"/>
      <c r="M30" s="114"/>
      <c r="N30" s="114"/>
      <c r="O30" s="114"/>
      <c r="P30" s="114"/>
      <c r="Q30" s="114"/>
      <c r="R30" s="114"/>
      <c r="S30" s="114"/>
      <c r="T30" s="114"/>
      <c r="U30" s="114"/>
      <c r="V30" s="114"/>
      <c r="W30" s="114"/>
      <c r="X30" s="114"/>
      <c r="Y30" s="114"/>
      <c r="Z30" s="114"/>
    </row>
    <row r="31" spans="2:26" ht="16.5" thickTop="1" thickBot="1" x14ac:dyDescent="0.3">
      <c r="B31" s="146"/>
      <c r="C31" s="151"/>
      <c r="D31" s="151"/>
      <c r="E31" s="100" t="s">
        <v>285</v>
      </c>
      <c r="F31" s="101">
        <v>3</v>
      </c>
      <c r="G31" s="102" t="str">
        <f>IF('Feasibility Wizard'!J67="Yes","Yes","No")</f>
        <v>No</v>
      </c>
      <c r="H31" s="150"/>
      <c r="I31" s="6">
        <f t="shared" si="0"/>
        <v>0</v>
      </c>
      <c r="J31" s="114"/>
      <c r="K31" s="114"/>
      <c r="L31" s="114"/>
      <c r="M31" s="114"/>
      <c r="N31" s="114"/>
      <c r="O31" s="114"/>
      <c r="P31" s="114"/>
      <c r="Q31" s="114"/>
      <c r="R31" s="114"/>
      <c r="S31" s="114"/>
      <c r="T31" s="114"/>
      <c r="U31" s="114"/>
      <c r="V31" s="114"/>
      <c r="W31" s="114"/>
      <c r="X31" s="114"/>
      <c r="Y31" s="114"/>
      <c r="Z31" s="114"/>
    </row>
    <row r="32" spans="2:26" ht="31.5" thickTop="1" thickBot="1" x14ac:dyDescent="0.3">
      <c r="B32" s="146"/>
      <c r="C32" s="151"/>
      <c r="D32" s="151"/>
      <c r="E32" s="100" t="s">
        <v>286</v>
      </c>
      <c r="F32" s="101">
        <v>2</v>
      </c>
      <c r="G32" s="102" t="str">
        <f>IF('Feasibility Wizard'!J68="Yes","Yes","No")</f>
        <v>No</v>
      </c>
      <c r="H32" s="150"/>
      <c r="I32" s="6">
        <f t="shared" si="0"/>
        <v>0</v>
      </c>
    </row>
    <row r="33" spans="2:9" ht="16.5" thickTop="1" thickBot="1" x14ac:dyDescent="0.3">
      <c r="B33" s="146"/>
      <c r="C33" s="151"/>
      <c r="D33" s="151"/>
      <c r="E33" s="100" t="s">
        <v>287</v>
      </c>
      <c r="F33" s="101">
        <v>3</v>
      </c>
      <c r="G33" s="102" t="str">
        <f>IF('Feasibility Wizard'!J69="Yes","Yes","No")</f>
        <v>No</v>
      </c>
      <c r="H33" s="150"/>
      <c r="I33" s="6">
        <f t="shared" si="0"/>
        <v>0</v>
      </c>
    </row>
    <row r="34" spans="2:9" ht="16.5" thickTop="1" thickBot="1" x14ac:dyDescent="0.3">
      <c r="B34" s="146"/>
      <c r="C34" s="151"/>
      <c r="D34" s="151"/>
      <c r="E34" s="100" t="s">
        <v>288</v>
      </c>
      <c r="F34" s="101">
        <v>3</v>
      </c>
      <c r="G34" s="102" t="str">
        <f>IF('Feasibility Wizard'!J70="Yes","Yes","No")</f>
        <v>No</v>
      </c>
      <c r="H34" s="150"/>
      <c r="I34" s="6">
        <f t="shared" si="0"/>
        <v>0</v>
      </c>
    </row>
    <row r="35" spans="2:9" ht="20.25" thickTop="1" thickBot="1" x14ac:dyDescent="0.35">
      <c r="B35" s="152" t="s">
        <v>49</v>
      </c>
      <c r="C35" s="153"/>
      <c r="D35" s="104"/>
      <c r="E35" s="104"/>
      <c r="F35" s="104"/>
      <c r="G35" s="105"/>
      <c r="H35" s="154">
        <f>H6+H10+H14+H18+H23</f>
        <v>0</v>
      </c>
    </row>
    <row r="36" spans="2:9" ht="15" customHeight="1" thickTop="1" thickBot="1" x14ac:dyDescent="0.3">
      <c r="B36" s="106"/>
      <c r="C36" s="107" t="s">
        <v>253</v>
      </c>
      <c r="D36" s="155" t="s">
        <v>254</v>
      </c>
      <c r="E36" s="155"/>
      <c r="F36" s="155"/>
      <c r="G36" s="156"/>
      <c r="H36" s="154"/>
    </row>
    <row r="37" spans="2:9" ht="15" customHeight="1" thickTop="1" thickBot="1" x14ac:dyDescent="0.3">
      <c r="B37" s="106"/>
      <c r="C37" s="108" t="s">
        <v>255</v>
      </c>
      <c r="D37" s="155" t="s">
        <v>256</v>
      </c>
      <c r="E37" s="155"/>
      <c r="F37" s="155"/>
      <c r="G37" s="156"/>
      <c r="H37" s="154"/>
    </row>
    <row r="38" spans="2:9" ht="15" customHeight="1" thickTop="1" thickBot="1" x14ac:dyDescent="0.3">
      <c r="B38" s="106"/>
      <c r="C38" s="107" t="s">
        <v>257</v>
      </c>
      <c r="D38" s="155" t="s">
        <v>258</v>
      </c>
      <c r="E38" s="155"/>
      <c r="F38" s="155"/>
      <c r="G38" s="156"/>
      <c r="H38" s="154"/>
    </row>
    <row r="39" spans="2:9" ht="15.75" thickTop="1" x14ac:dyDescent="0.25"/>
    <row r="40" spans="2:9" x14ac:dyDescent="0.25">
      <c r="B40" s="1" t="s">
        <v>259</v>
      </c>
      <c r="D40" s="1" t="str">
        <f>IF(H35&gt;=30,D36,IF(H35&gt;=10,D37,D38))</f>
        <v>ITS may not provide enough benefit to justify the associated costs</v>
      </c>
    </row>
  </sheetData>
  <mergeCells count="27">
    <mergeCell ref="B23:B34"/>
    <mergeCell ref="C23:D34"/>
    <mergeCell ref="H23:H34"/>
    <mergeCell ref="C9:H9"/>
    <mergeCell ref="B10:B12"/>
    <mergeCell ref="C10:D12"/>
    <mergeCell ref="H10:H12"/>
    <mergeCell ref="C13:H13"/>
    <mergeCell ref="B14:B16"/>
    <mergeCell ref="B35:C35"/>
    <mergeCell ref="H35:H38"/>
    <mergeCell ref="D36:G36"/>
    <mergeCell ref="D37:G37"/>
    <mergeCell ref="D38:G38"/>
    <mergeCell ref="C22:H22"/>
    <mergeCell ref="B2:H2"/>
    <mergeCell ref="B4:C4"/>
    <mergeCell ref="B6:B8"/>
    <mergeCell ref="C6:D8"/>
    <mergeCell ref="H6:H8"/>
    <mergeCell ref="C14:D16"/>
    <mergeCell ref="H14:H16"/>
    <mergeCell ref="C17:H17"/>
    <mergeCell ref="B18:B21"/>
    <mergeCell ref="C18:D21"/>
    <mergeCell ref="H18:H21"/>
    <mergeCell ref="N2:S6"/>
  </mergeCells>
  <pageMargins left="0.7" right="0.7" top="0.75" bottom="0.75" header="0.3" footer="0.3"/>
  <pageSetup scale="90" orientation="landscape" r:id="rId1"/>
  <headerFooter>
    <oddHeader>&amp;C&amp;"-,Bold"&amp;16Work Zone ITS - Feasibility Wizard Worksheet</oddHeader>
    <oddFooter>&amp;CJune 20, 2016</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8" tint="-0.499984740745262"/>
  </sheetPr>
  <dimension ref="B1:Q111"/>
  <sheetViews>
    <sheetView topLeftCell="A4" zoomScale="110" zoomScaleNormal="110" workbookViewId="0">
      <selection activeCell="C4" sqref="C4:K7"/>
    </sheetView>
  </sheetViews>
  <sheetFormatPr defaultColWidth="9.140625" defaultRowHeight="15" x14ac:dyDescent="0.25"/>
  <cols>
    <col min="1" max="16384" width="9.140625" style="37"/>
  </cols>
  <sheetData>
    <row r="1" spans="2:11" ht="15" customHeight="1" x14ac:dyDescent="0.25"/>
    <row r="2" spans="2:11" ht="15" customHeight="1" x14ac:dyDescent="0.25">
      <c r="B2" s="38"/>
      <c r="C2" s="163" t="s">
        <v>50</v>
      </c>
      <c r="D2" s="163"/>
      <c r="E2" s="163"/>
      <c r="F2" s="163"/>
      <c r="G2" s="163"/>
      <c r="H2" s="163"/>
      <c r="I2" s="163"/>
      <c r="J2" s="163"/>
      <c r="K2" s="164"/>
    </row>
    <row r="3" spans="2:11" ht="15" customHeight="1" x14ac:dyDescent="0.25">
      <c r="B3" s="39"/>
      <c r="C3" s="165"/>
      <c r="D3" s="165"/>
      <c r="E3" s="165"/>
      <c r="F3" s="165"/>
      <c r="G3" s="165"/>
      <c r="H3" s="165"/>
      <c r="I3" s="165"/>
      <c r="J3" s="165"/>
      <c r="K3" s="166"/>
    </row>
    <row r="4" spans="2:11" ht="15" customHeight="1" x14ac:dyDescent="0.25">
      <c r="B4" s="40"/>
      <c r="C4" s="167" t="s">
        <v>65</v>
      </c>
      <c r="D4" s="167"/>
      <c r="E4" s="167"/>
      <c r="F4" s="167"/>
      <c r="G4" s="167"/>
      <c r="H4" s="167"/>
      <c r="I4" s="167"/>
      <c r="J4" s="167"/>
      <c r="K4" s="168"/>
    </row>
    <row r="5" spans="2:11" ht="15.75" customHeight="1" x14ac:dyDescent="0.25">
      <c r="B5" s="41"/>
      <c r="C5" s="167"/>
      <c r="D5" s="167"/>
      <c r="E5" s="167"/>
      <c r="F5" s="167"/>
      <c r="G5" s="167"/>
      <c r="H5" s="167"/>
      <c r="I5" s="167"/>
      <c r="J5" s="167"/>
      <c r="K5" s="168"/>
    </row>
    <row r="6" spans="2:11" ht="15" customHeight="1" x14ac:dyDescent="0.25">
      <c r="B6" s="41"/>
      <c r="C6" s="167"/>
      <c r="D6" s="167"/>
      <c r="E6" s="167"/>
      <c r="F6" s="167"/>
      <c r="G6" s="167"/>
      <c r="H6" s="167"/>
      <c r="I6" s="167"/>
      <c r="J6" s="167"/>
      <c r="K6" s="168"/>
    </row>
    <row r="7" spans="2:11" ht="14.45" customHeight="1" x14ac:dyDescent="0.25">
      <c r="B7" s="40"/>
      <c r="C7" s="167"/>
      <c r="D7" s="167"/>
      <c r="E7" s="167"/>
      <c r="F7" s="167"/>
      <c r="G7" s="167"/>
      <c r="H7" s="167"/>
      <c r="I7" s="167"/>
      <c r="J7" s="167"/>
      <c r="K7" s="168"/>
    </row>
    <row r="8" spans="2:11" x14ac:dyDescent="0.25">
      <c r="B8" s="42"/>
      <c r="C8" s="160" t="s">
        <v>84</v>
      </c>
      <c r="D8" s="160"/>
      <c r="E8" s="160"/>
      <c r="F8" s="160"/>
      <c r="G8" s="160"/>
      <c r="H8" s="160"/>
      <c r="I8" s="160"/>
      <c r="J8" s="160"/>
      <c r="K8" s="43"/>
    </row>
    <row r="9" spans="2:11" x14ac:dyDescent="0.25">
      <c r="B9" s="42"/>
      <c r="C9" s="160"/>
      <c r="D9" s="160"/>
      <c r="E9" s="160"/>
      <c r="F9" s="160"/>
      <c r="G9" s="160"/>
      <c r="H9" s="160"/>
      <c r="I9" s="160"/>
      <c r="J9" s="160"/>
      <c r="K9" s="43"/>
    </row>
    <row r="10" spans="2:11" x14ac:dyDescent="0.25">
      <c r="B10" s="42"/>
      <c r="C10" s="160"/>
      <c r="D10" s="160"/>
      <c r="E10" s="160"/>
      <c r="F10" s="160"/>
      <c r="G10" s="160"/>
      <c r="H10" s="160"/>
      <c r="I10" s="160"/>
      <c r="J10" s="160"/>
      <c r="K10" s="43"/>
    </row>
    <row r="11" spans="2:11" x14ac:dyDescent="0.25">
      <c r="B11" s="42"/>
      <c r="C11" s="160"/>
      <c r="D11" s="160"/>
      <c r="E11" s="160"/>
      <c r="F11" s="160"/>
      <c r="G11" s="160"/>
      <c r="H11" s="160"/>
      <c r="I11" s="160"/>
      <c r="J11" s="160"/>
      <c r="K11" s="43"/>
    </row>
    <row r="12" spans="2:11" ht="14.45" customHeight="1" x14ac:dyDescent="0.25">
      <c r="B12" s="42"/>
      <c r="C12" s="44"/>
      <c r="D12" s="44"/>
      <c r="E12" s="44"/>
      <c r="F12" s="44"/>
      <c r="G12" s="44"/>
      <c r="H12" s="44"/>
      <c r="I12" s="44"/>
      <c r="J12" s="44"/>
      <c r="K12" s="43"/>
    </row>
    <row r="13" spans="2:11" x14ac:dyDescent="0.25">
      <c r="B13" s="42"/>
      <c r="C13" s="161" t="s">
        <v>88</v>
      </c>
      <c r="D13" s="161"/>
      <c r="E13" s="161"/>
      <c r="F13" s="161"/>
      <c r="G13" s="161"/>
      <c r="H13" s="161"/>
      <c r="I13" s="161"/>
      <c r="J13" s="161"/>
      <c r="K13" s="43"/>
    </row>
    <row r="14" spans="2:11" x14ac:dyDescent="0.25">
      <c r="B14" s="42"/>
      <c r="C14" s="161"/>
      <c r="D14" s="161"/>
      <c r="E14" s="161"/>
      <c r="F14" s="161"/>
      <c r="G14" s="161"/>
      <c r="H14" s="161"/>
      <c r="I14" s="161"/>
      <c r="J14" s="161"/>
      <c r="K14" s="43"/>
    </row>
    <row r="15" spans="2:11" x14ac:dyDescent="0.25">
      <c r="B15" s="42"/>
      <c r="C15" s="161"/>
      <c r="D15" s="161"/>
      <c r="E15" s="161"/>
      <c r="F15" s="161"/>
      <c r="G15" s="161"/>
      <c r="H15" s="161"/>
      <c r="I15" s="161"/>
      <c r="J15" s="161"/>
      <c r="K15" s="43"/>
    </row>
    <row r="16" spans="2:11" x14ac:dyDescent="0.25">
      <c r="B16" s="42"/>
      <c r="C16" s="161"/>
      <c r="D16" s="161"/>
      <c r="E16" s="161"/>
      <c r="F16" s="161"/>
      <c r="G16" s="161"/>
      <c r="H16" s="161"/>
      <c r="I16" s="161"/>
      <c r="J16" s="161"/>
      <c r="K16" s="43"/>
    </row>
    <row r="17" spans="2:11" x14ac:dyDescent="0.25">
      <c r="B17" s="42"/>
      <c r="C17" s="161"/>
      <c r="D17" s="161"/>
      <c r="E17" s="161"/>
      <c r="F17" s="161"/>
      <c r="G17" s="161"/>
      <c r="H17" s="161"/>
      <c r="I17" s="161"/>
      <c r="J17" s="161"/>
      <c r="K17" s="43"/>
    </row>
    <row r="18" spans="2:11" ht="14.45" customHeight="1" x14ac:dyDescent="0.25">
      <c r="B18" s="42"/>
      <c r="C18" s="44"/>
      <c r="D18" s="44"/>
      <c r="E18" s="44"/>
      <c r="F18" s="44"/>
      <c r="G18" s="44"/>
      <c r="H18" s="44"/>
      <c r="I18" s="44"/>
      <c r="J18" s="44"/>
      <c r="K18" s="43"/>
    </row>
    <row r="19" spans="2:11" x14ac:dyDescent="0.25">
      <c r="B19" s="42"/>
      <c r="C19" s="169" t="s">
        <v>85</v>
      </c>
      <c r="D19" s="169"/>
      <c r="E19" s="169"/>
      <c r="F19" s="169"/>
      <c r="G19" s="169"/>
      <c r="H19" s="169"/>
      <c r="I19" s="169"/>
      <c r="J19" s="169"/>
      <c r="K19" s="43"/>
    </row>
    <row r="20" spans="2:11" x14ac:dyDescent="0.25">
      <c r="B20" s="42"/>
      <c r="C20" s="169"/>
      <c r="D20" s="169"/>
      <c r="E20" s="169"/>
      <c r="F20" s="169"/>
      <c r="G20" s="169"/>
      <c r="H20" s="169"/>
      <c r="I20" s="169"/>
      <c r="J20" s="169"/>
      <c r="K20" s="43"/>
    </row>
    <row r="21" spans="2:11" x14ac:dyDescent="0.25">
      <c r="B21" s="42"/>
      <c r="C21" s="169"/>
      <c r="D21" s="169"/>
      <c r="E21" s="169"/>
      <c r="F21" s="169"/>
      <c r="G21" s="169"/>
      <c r="H21" s="169"/>
      <c r="I21" s="169"/>
      <c r="J21" s="169"/>
      <c r="K21" s="43"/>
    </row>
    <row r="22" spans="2:11" x14ac:dyDescent="0.25">
      <c r="B22" s="42"/>
      <c r="C22" s="44"/>
      <c r="D22" s="44"/>
      <c r="E22" s="44"/>
      <c r="F22" s="44"/>
      <c r="G22" s="44"/>
      <c r="H22" s="44"/>
      <c r="I22" s="44"/>
      <c r="J22" s="44"/>
      <c r="K22" s="43"/>
    </row>
    <row r="23" spans="2:11" x14ac:dyDescent="0.25">
      <c r="B23" s="42"/>
      <c r="C23" s="44"/>
      <c r="D23" s="44"/>
      <c r="E23" s="44"/>
      <c r="F23" s="44"/>
      <c r="G23" s="44"/>
      <c r="H23" s="44"/>
      <c r="I23" s="44"/>
      <c r="J23" s="44"/>
      <c r="K23" s="43"/>
    </row>
    <row r="24" spans="2:11" x14ac:dyDescent="0.25">
      <c r="B24" s="42"/>
      <c r="C24" s="44"/>
      <c r="D24" s="44"/>
      <c r="E24" s="44"/>
      <c r="F24" s="44"/>
      <c r="G24" s="44"/>
      <c r="H24" s="44"/>
      <c r="I24" s="44"/>
      <c r="J24" s="44"/>
      <c r="K24" s="43"/>
    </row>
    <row r="25" spans="2:11" x14ac:dyDescent="0.25">
      <c r="B25" s="42"/>
      <c r="C25" s="44"/>
      <c r="D25" s="44"/>
      <c r="E25" s="44"/>
      <c r="F25" s="44"/>
      <c r="G25" s="44"/>
      <c r="H25" s="44"/>
      <c r="I25" s="44"/>
      <c r="J25" s="44"/>
      <c r="K25" s="43"/>
    </row>
    <row r="26" spans="2:11" x14ac:dyDescent="0.25">
      <c r="B26" s="42"/>
      <c r="C26" s="44"/>
      <c r="D26" s="44"/>
      <c r="E26" s="44"/>
      <c r="F26" s="44"/>
      <c r="G26" s="44"/>
      <c r="H26" s="44"/>
      <c r="I26" s="44"/>
      <c r="J26" s="44"/>
      <c r="K26" s="43"/>
    </row>
    <row r="27" spans="2:11" x14ac:dyDescent="0.25">
      <c r="B27" s="42"/>
      <c r="C27" s="44"/>
      <c r="D27" s="44"/>
      <c r="E27" s="44"/>
      <c r="F27" s="44"/>
      <c r="G27" s="44"/>
      <c r="H27" s="44"/>
      <c r="I27" s="44"/>
      <c r="J27" s="44"/>
      <c r="K27" s="43"/>
    </row>
    <row r="28" spans="2:11" x14ac:dyDescent="0.25">
      <c r="B28" s="45"/>
      <c r="C28" s="46" t="s">
        <v>86</v>
      </c>
      <c r="D28" s="47"/>
      <c r="E28" s="47"/>
      <c r="F28" s="47"/>
      <c r="G28" s="47"/>
      <c r="H28" s="47"/>
      <c r="I28" s="47"/>
      <c r="J28" s="47"/>
      <c r="K28" s="48"/>
    </row>
    <row r="29" spans="2:11" x14ac:dyDescent="0.25">
      <c r="B29" s="45"/>
      <c r="C29" s="47" t="s">
        <v>90</v>
      </c>
      <c r="D29" s="47"/>
      <c r="E29" s="47"/>
      <c r="F29" s="47"/>
      <c r="G29" s="47"/>
      <c r="H29" s="47"/>
      <c r="I29" s="47"/>
      <c r="J29" s="47"/>
      <c r="K29" s="48"/>
    </row>
    <row r="30" spans="2:11" x14ac:dyDescent="0.25">
      <c r="B30" s="45"/>
      <c r="C30" s="47" t="s">
        <v>91</v>
      </c>
      <c r="D30" s="47"/>
      <c r="E30" s="47"/>
      <c r="F30" s="47"/>
      <c r="G30" s="47"/>
      <c r="H30" s="47"/>
      <c r="I30" s="47"/>
      <c r="J30" s="47"/>
      <c r="K30" s="48"/>
    </row>
    <row r="31" spans="2:11" ht="15" hidden="1" customHeight="1" x14ac:dyDescent="0.25">
      <c r="B31" s="45"/>
      <c r="C31" s="49"/>
      <c r="D31" s="47"/>
      <c r="E31" s="47"/>
      <c r="F31" s="47"/>
      <c r="G31" s="47"/>
      <c r="H31" s="47"/>
      <c r="I31" s="47"/>
      <c r="J31" s="47"/>
      <c r="K31" s="48"/>
    </row>
    <row r="32" spans="2:11" x14ac:dyDescent="0.25">
      <c r="B32" s="45"/>
      <c r="C32" s="162" t="s">
        <v>290</v>
      </c>
      <c r="D32" s="162"/>
      <c r="E32" s="162"/>
      <c r="F32" s="162"/>
      <c r="G32" s="162"/>
      <c r="H32" s="162"/>
      <c r="I32" s="162"/>
      <c r="J32" s="162"/>
      <c r="K32" s="48"/>
    </row>
    <row r="33" spans="2:11" ht="34.5" customHeight="1" x14ac:dyDescent="0.25">
      <c r="B33" s="45"/>
      <c r="C33" s="162"/>
      <c r="D33" s="162"/>
      <c r="E33" s="162"/>
      <c r="F33" s="162"/>
      <c r="G33" s="162"/>
      <c r="H33" s="162"/>
      <c r="I33" s="162"/>
      <c r="J33" s="162"/>
      <c r="K33" s="48"/>
    </row>
    <row r="34" spans="2:11" x14ac:dyDescent="0.25">
      <c r="B34" s="42"/>
      <c r="C34" s="44"/>
      <c r="D34" s="44"/>
      <c r="E34" s="44"/>
      <c r="F34" s="44"/>
      <c r="G34" s="44"/>
      <c r="H34" s="44"/>
      <c r="I34" s="44"/>
      <c r="J34" s="44"/>
      <c r="K34" s="43"/>
    </row>
    <row r="35" spans="2:11" ht="14.45" customHeight="1" x14ac:dyDescent="0.25">
      <c r="B35" s="42"/>
      <c r="C35" s="50" t="s">
        <v>87</v>
      </c>
      <c r="D35" s="44"/>
      <c r="E35" s="44"/>
      <c r="F35" s="44"/>
      <c r="G35" s="44"/>
      <c r="H35" s="44"/>
      <c r="I35" s="44"/>
      <c r="J35" s="44"/>
      <c r="K35" s="43"/>
    </row>
    <row r="36" spans="2:11" x14ac:dyDescent="0.25">
      <c r="B36" s="42"/>
      <c r="C36" s="159" t="s">
        <v>51</v>
      </c>
      <c r="D36" s="159"/>
      <c r="E36" s="159"/>
      <c r="F36" s="159"/>
      <c r="G36" s="159"/>
      <c r="H36" s="159"/>
      <c r="I36" s="159"/>
      <c r="J36" s="159"/>
      <c r="K36" s="43"/>
    </row>
    <row r="37" spans="2:11" x14ac:dyDescent="0.25">
      <c r="B37" s="42"/>
      <c r="C37" s="159"/>
      <c r="D37" s="159"/>
      <c r="E37" s="159"/>
      <c r="F37" s="159"/>
      <c r="G37" s="159"/>
      <c r="H37" s="159"/>
      <c r="I37" s="159"/>
      <c r="J37" s="159"/>
      <c r="K37" s="43"/>
    </row>
    <row r="38" spans="2:11" x14ac:dyDescent="0.25">
      <c r="B38" s="42"/>
      <c r="C38" s="159"/>
      <c r="D38" s="159"/>
      <c r="E38" s="159"/>
      <c r="F38" s="159"/>
      <c r="G38" s="159"/>
      <c r="H38" s="159"/>
      <c r="I38" s="159"/>
      <c r="J38" s="159"/>
      <c r="K38" s="43"/>
    </row>
    <row r="39" spans="2:11" x14ac:dyDescent="0.25">
      <c r="B39" s="42"/>
      <c r="C39" s="44"/>
      <c r="D39" s="44"/>
      <c r="E39" s="44"/>
      <c r="F39" s="44"/>
      <c r="G39" s="44"/>
      <c r="H39" s="44"/>
      <c r="I39" s="44"/>
      <c r="J39" s="44"/>
      <c r="K39" s="43"/>
    </row>
    <row r="40" spans="2:11" x14ac:dyDescent="0.25">
      <c r="B40" s="42"/>
      <c r="C40" s="50" t="s">
        <v>52</v>
      </c>
      <c r="D40" s="50"/>
      <c r="E40" s="44"/>
      <c r="F40" s="44"/>
      <c r="G40" s="50" t="s">
        <v>53</v>
      </c>
      <c r="H40" s="44"/>
      <c r="I40" s="44"/>
      <c r="J40" s="44"/>
      <c r="K40" s="43"/>
    </row>
    <row r="41" spans="2:11" x14ac:dyDescent="0.25">
      <c r="B41" s="42"/>
      <c r="C41" s="44" t="s">
        <v>54</v>
      </c>
      <c r="D41" s="44"/>
      <c r="E41" s="44"/>
      <c r="F41" s="44"/>
      <c r="G41" s="44" t="s">
        <v>55</v>
      </c>
      <c r="H41" s="44"/>
      <c r="I41" s="44"/>
      <c r="J41" s="44"/>
      <c r="K41" s="43"/>
    </row>
    <row r="42" spans="2:11" x14ac:dyDescent="0.25">
      <c r="B42" s="42"/>
      <c r="C42" s="44" t="s">
        <v>56</v>
      </c>
      <c r="D42" s="44"/>
      <c r="E42" s="44"/>
      <c r="F42" s="44"/>
      <c r="G42" s="44" t="s">
        <v>57</v>
      </c>
      <c r="H42" s="44"/>
      <c r="I42" s="44"/>
      <c r="J42" s="44"/>
      <c r="K42" s="43"/>
    </row>
    <row r="43" spans="2:11" x14ac:dyDescent="0.25">
      <c r="B43" s="42"/>
      <c r="C43" s="44" t="s">
        <v>58</v>
      </c>
      <c r="D43" s="44"/>
      <c r="E43" s="44"/>
      <c r="F43" s="44"/>
      <c r="G43" s="44" t="s">
        <v>59</v>
      </c>
      <c r="H43" s="44"/>
      <c r="I43" s="44"/>
      <c r="J43" s="44"/>
      <c r="K43" s="43"/>
    </row>
    <row r="44" spans="2:11" x14ac:dyDescent="0.25">
      <c r="B44" s="42"/>
      <c r="C44" s="51" t="s">
        <v>60</v>
      </c>
      <c r="D44" s="44"/>
      <c r="E44" s="44"/>
      <c r="F44" s="44"/>
      <c r="G44" s="51" t="s">
        <v>61</v>
      </c>
      <c r="H44" s="44"/>
      <c r="I44" s="44"/>
      <c r="J44" s="44"/>
      <c r="K44" s="43"/>
    </row>
    <row r="45" spans="2:11" x14ac:dyDescent="0.25">
      <c r="B45" s="42"/>
      <c r="C45" s="44" t="s">
        <v>62</v>
      </c>
      <c r="D45" s="44"/>
      <c r="E45" s="44"/>
      <c r="F45" s="44"/>
      <c r="G45" s="44" t="s">
        <v>63</v>
      </c>
      <c r="H45" s="44"/>
      <c r="I45" s="44"/>
      <c r="J45" s="44"/>
      <c r="K45" s="43"/>
    </row>
    <row r="46" spans="2:11" x14ac:dyDescent="0.25">
      <c r="B46" s="52"/>
      <c r="C46" s="53"/>
      <c r="D46" s="53"/>
      <c r="E46" s="53"/>
      <c r="F46" s="53"/>
      <c r="G46" s="53"/>
      <c r="H46" s="53"/>
      <c r="I46" s="53"/>
      <c r="J46" s="53"/>
      <c r="K46" s="54"/>
    </row>
    <row r="50" spans="2:17" ht="36" x14ac:dyDescent="0.25">
      <c r="B50" s="176" t="s">
        <v>111</v>
      </c>
      <c r="C50" s="176"/>
      <c r="D50" s="176"/>
      <c r="E50" s="176"/>
      <c r="F50" s="176"/>
      <c r="G50" s="176"/>
      <c r="H50" s="176"/>
      <c r="I50" s="176"/>
      <c r="J50" s="176"/>
      <c r="K50" s="176"/>
      <c r="L50" s="176"/>
      <c r="M50" s="176"/>
      <c r="N50" s="176"/>
      <c r="O50" s="176"/>
    </row>
    <row r="51" spans="2:17" ht="15" customHeight="1" x14ac:dyDescent="0.25">
      <c r="B51" s="177" t="s">
        <v>81</v>
      </c>
      <c r="C51" s="177"/>
      <c r="D51" s="177"/>
      <c r="E51" s="177"/>
      <c r="F51" s="177"/>
      <c r="G51" s="177"/>
      <c r="H51" s="177"/>
      <c r="I51" s="177"/>
      <c r="J51" s="177"/>
      <c r="K51" s="177"/>
      <c r="L51" s="177"/>
      <c r="M51" s="177"/>
      <c r="N51" s="177"/>
      <c r="O51" s="177"/>
    </row>
    <row r="52" spans="2:17" x14ac:dyDescent="0.25">
      <c r="B52" s="44"/>
      <c r="C52" s="44"/>
      <c r="D52" s="44"/>
      <c r="E52" s="44"/>
    </row>
    <row r="53" spans="2:17" ht="18.75" x14ac:dyDescent="0.3">
      <c r="B53" s="157" t="str">
        <f>IF(NOT(ISBLANK('Application Matrix'!B4)),'Application Matrix'!B4,"")</f>
        <v>Goal Category</v>
      </c>
      <c r="C53" s="158"/>
      <c r="D53" s="158"/>
      <c r="E53" s="172" t="str">
        <f>'Application Matrix'!C4</f>
        <v>Question</v>
      </c>
      <c r="F53" s="173"/>
      <c r="G53" s="173"/>
      <c r="H53" s="173"/>
      <c r="I53" s="173"/>
      <c r="J53" s="173"/>
      <c r="K53" s="173"/>
      <c r="L53" s="173"/>
      <c r="M53" s="173"/>
      <c r="N53" s="157" t="s">
        <v>48</v>
      </c>
      <c r="O53" s="158"/>
      <c r="Q53" s="55" t="s">
        <v>47</v>
      </c>
    </row>
    <row r="54" spans="2:17" ht="15" customHeight="1" x14ac:dyDescent="0.25">
      <c r="B54" s="170" t="str">
        <f>IF(NOT(ISBLANK('Application Matrix'!B6)),'Application Matrix'!B6,"")</f>
        <v>Mobility</v>
      </c>
      <c r="C54" s="171"/>
      <c r="D54" s="171"/>
      <c r="E54" s="174" t="str">
        <f>IF(NOT(ISBLANK('Application Matrix'!C6)),'Application Matrix'!C6,"")</f>
        <v>Will this work zone involve off-peak lane closures?</v>
      </c>
      <c r="F54" s="175"/>
      <c r="G54" s="175"/>
      <c r="H54" s="175"/>
      <c r="I54" s="175"/>
      <c r="J54" s="175"/>
      <c r="K54" s="175"/>
      <c r="L54" s="175"/>
      <c r="M54" s="175"/>
      <c r="N54" s="178" t="s">
        <v>47</v>
      </c>
      <c r="O54" s="179"/>
      <c r="Q54" s="55" t="s">
        <v>43</v>
      </c>
    </row>
    <row r="55" spans="2:17" ht="15" customHeight="1" x14ac:dyDescent="0.25">
      <c r="B55" s="170" t="str">
        <f>IF(NOT(ISBLANK('Application Matrix'!B7)),'Application Matrix'!B7,"")</f>
        <v>Mobility</v>
      </c>
      <c r="C55" s="171"/>
      <c r="D55" s="171"/>
      <c r="E55" s="174" t="str">
        <f>IF(NOT(ISBLANK('Application Matrix'!C7)),'Application Matrix'!C7,"")</f>
        <v>Will this work zone involve peak-hour lane closures?</v>
      </c>
      <c r="F55" s="175"/>
      <c r="G55" s="175"/>
      <c r="H55" s="175"/>
      <c r="I55" s="175"/>
      <c r="J55" s="175"/>
      <c r="K55" s="175"/>
      <c r="L55" s="175"/>
      <c r="M55" s="175"/>
      <c r="N55" s="178" t="s">
        <v>47</v>
      </c>
      <c r="O55" s="179"/>
      <c r="Q55" s="55" t="s">
        <v>46</v>
      </c>
    </row>
    <row r="56" spans="2:17" ht="15" customHeight="1" x14ac:dyDescent="0.25">
      <c r="B56" s="170" t="str">
        <f>IF(NOT(ISBLANK('Application Matrix'!B8)),'Application Matrix'!B8,"")</f>
        <v>Mobility</v>
      </c>
      <c r="C56" s="171"/>
      <c r="D56" s="171"/>
      <c r="E56" s="174" t="str">
        <f>IF(NOT(ISBLANK('Application Matrix'!C8)),'Application Matrix'!C8,"")</f>
        <v>Will this work zone be active during the day?</v>
      </c>
      <c r="F56" s="175"/>
      <c r="G56" s="175"/>
      <c r="H56" s="175"/>
      <c r="I56" s="175"/>
      <c r="J56" s="175"/>
      <c r="K56" s="175"/>
      <c r="L56" s="175"/>
      <c r="M56" s="175"/>
      <c r="N56" s="178" t="s">
        <v>47</v>
      </c>
      <c r="O56" s="179"/>
    </row>
    <row r="57" spans="2:17" ht="15" customHeight="1" x14ac:dyDescent="0.25">
      <c r="B57" s="170" t="str">
        <f>IF(NOT(ISBLANK('Application Matrix'!B9)),'Application Matrix'!B9,"")</f>
        <v>Safety</v>
      </c>
      <c r="C57" s="171"/>
      <c r="D57" s="171"/>
      <c r="E57" s="174" t="str">
        <f>IF(NOT(ISBLANK('Application Matrix'!C9)),'Application Matrix'!C9,"")</f>
        <v>Do you expect congestion impacts to be noticeable to drivers?</v>
      </c>
      <c r="F57" s="175"/>
      <c r="G57" s="175"/>
      <c r="H57" s="175"/>
      <c r="I57" s="175"/>
      <c r="J57" s="175"/>
      <c r="K57" s="175"/>
      <c r="L57" s="175"/>
      <c r="M57" s="175"/>
      <c r="N57" s="178" t="s">
        <v>47</v>
      </c>
      <c r="O57" s="179"/>
    </row>
    <row r="58" spans="2:17" ht="15" customHeight="1" x14ac:dyDescent="0.25">
      <c r="B58" s="170" t="str">
        <f>IF(NOT(ISBLANK('Application Matrix'!B10)),'Application Matrix'!B10,"")</f>
        <v>Mobility</v>
      </c>
      <c r="C58" s="171"/>
      <c r="D58" s="171"/>
      <c r="E58" s="174" t="str">
        <f>IF(NOT(ISBLANK('Application Matrix'!C10)),'Application Matrix'!C10,"")</f>
        <v>Do you expect the work zone to cause V/C to be greater than 1.0 during peak periods?</v>
      </c>
      <c r="F58" s="175"/>
      <c r="G58" s="175"/>
      <c r="H58" s="175"/>
      <c r="I58" s="175"/>
      <c r="J58" s="175"/>
      <c r="K58" s="175"/>
      <c r="L58" s="175"/>
      <c r="M58" s="175"/>
      <c r="N58" s="178" t="s">
        <v>47</v>
      </c>
      <c r="O58" s="179"/>
    </row>
    <row r="59" spans="2:17" ht="15" customHeight="1" x14ac:dyDescent="0.25">
      <c r="B59" s="170" t="str">
        <f>IF(NOT(ISBLANK('Application Matrix'!B11)),'Application Matrix'!B11,"")</f>
        <v>Mobility</v>
      </c>
      <c r="C59" s="171"/>
      <c r="D59" s="171"/>
      <c r="E59" s="174" t="str">
        <f>IF(NOT(ISBLANK('Application Matrix'!C11)),'Application Matrix'!C11,"")</f>
        <v>Do you expect the work zone to cause V/C to be greater than 1.0 during off-peak periods?</v>
      </c>
      <c r="F59" s="175"/>
      <c r="G59" s="175"/>
      <c r="H59" s="175"/>
      <c r="I59" s="175"/>
      <c r="J59" s="175"/>
      <c r="K59" s="175"/>
      <c r="L59" s="175"/>
      <c r="M59" s="175"/>
      <c r="N59" s="178" t="s">
        <v>47</v>
      </c>
      <c r="O59" s="179"/>
    </row>
    <row r="60" spans="2:17" ht="15" customHeight="1" x14ac:dyDescent="0.25">
      <c r="B60" s="170" t="str">
        <f>IF(NOT(ISBLANK('Application Matrix'!B12)),'Application Matrix'!B12,"")</f>
        <v>Mobility</v>
      </c>
      <c r="C60" s="171"/>
      <c r="D60" s="171"/>
      <c r="E60" s="174" t="str">
        <f>IF(NOT(ISBLANK('Application Matrix'!C12)),'Application Matrix'!C12,"")</f>
        <v>Do you anticipate significant queuing as a result of this work zone?</v>
      </c>
      <c r="F60" s="175"/>
      <c r="G60" s="175"/>
      <c r="H60" s="175"/>
      <c r="I60" s="175"/>
      <c r="J60" s="175"/>
      <c r="K60" s="175"/>
      <c r="L60" s="175"/>
      <c r="M60" s="175"/>
      <c r="N60" s="178" t="s">
        <v>47</v>
      </c>
      <c r="O60" s="179"/>
    </row>
    <row r="61" spans="2:17" ht="15" customHeight="1" x14ac:dyDescent="0.25">
      <c r="B61" s="170" t="str">
        <f>IF(NOT(ISBLANK('Application Matrix'!B13)),'Application Matrix'!B13,"")</f>
        <v>Mobility</v>
      </c>
      <c r="C61" s="171"/>
      <c r="D61" s="171"/>
      <c r="E61" s="174" t="str">
        <f>IF(NOT(ISBLANK('Application Matrix'!C13)),'Application Matrix'!C13,"")</f>
        <v>Will lower speed limits be advised in the work zone?</v>
      </c>
      <c r="F61" s="175"/>
      <c r="G61" s="175"/>
      <c r="H61" s="175"/>
      <c r="I61" s="175"/>
      <c r="J61" s="175"/>
      <c r="K61" s="175"/>
      <c r="L61" s="175"/>
      <c r="M61" s="175"/>
      <c r="N61" s="178" t="s">
        <v>47</v>
      </c>
      <c r="O61" s="179"/>
    </row>
    <row r="62" spans="2:17" ht="15" customHeight="1" x14ac:dyDescent="0.25">
      <c r="B62" s="170" t="str">
        <f>IF(NOT(ISBLANK('Application Matrix'!B14)),'Application Matrix'!B14,"")</f>
        <v>Mobility</v>
      </c>
      <c r="C62" s="171"/>
      <c r="D62" s="171"/>
      <c r="E62" s="174" t="str">
        <f>IF(NOT(ISBLANK('Application Matrix'!C14)),'Application Matrix'!C14,"")</f>
        <v>Will work zone activities disable ramp meters (Select No if not applicable)?</v>
      </c>
      <c r="F62" s="175"/>
      <c r="G62" s="175"/>
      <c r="H62" s="175"/>
      <c r="I62" s="175"/>
      <c r="J62" s="175"/>
      <c r="K62" s="175"/>
      <c r="L62" s="175"/>
      <c r="M62" s="175"/>
      <c r="N62" s="178" t="s">
        <v>47</v>
      </c>
      <c r="O62" s="179"/>
    </row>
    <row r="63" spans="2:17" ht="15" customHeight="1" x14ac:dyDescent="0.25">
      <c r="B63" s="170" t="str">
        <f>IF(NOT(ISBLANK('Application Matrix'!B15)),'Application Matrix'!B15,"")</f>
        <v>Safety</v>
      </c>
      <c r="C63" s="171"/>
      <c r="D63" s="171"/>
      <c r="E63" s="174" t="str">
        <f>IF(NOT(ISBLANK('Application Matrix'!C15)),'Application Matrix'!C15,"")</f>
        <v>Will the work zone result in closure of emergency shoulders?</v>
      </c>
      <c r="F63" s="175"/>
      <c r="G63" s="175"/>
      <c r="H63" s="175"/>
      <c r="I63" s="175"/>
      <c r="J63" s="175"/>
      <c r="K63" s="175"/>
      <c r="L63" s="175"/>
      <c r="M63" s="175"/>
      <c r="N63" s="178" t="s">
        <v>47</v>
      </c>
      <c r="O63" s="179"/>
    </row>
    <row r="64" spans="2:17" ht="15" customHeight="1" x14ac:dyDescent="0.25">
      <c r="B64" s="170" t="str">
        <f>IF(NOT(ISBLANK('Application Matrix'!B16)),'Application Matrix'!B16,"")</f>
        <v>Safety</v>
      </c>
      <c r="C64" s="171"/>
      <c r="D64" s="171"/>
      <c r="E64" s="174" t="str">
        <f>IF(NOT(ISBLANK('Application Matrix'!C16)),'Application Matrix'!C16,"")</f>
        <v>Is the work zone located on an emergency response corridor?</v>
      </c>
      <c r="F64" s="175"/>
      <c r="G64" s="175"/>
      <c r="H64" s="175"/>
      <c r="I64" s="175"/>
      <c r="J64" s="175"/>
      <c r="K64" s="175"/>
      <c r="L64" s="175"/>
      <c r="M64" s="175"/>
      <c r="N64" s="178" t="s">
        <v>47</v>
      </c>
      <c r="O64" s="179"/>
    </row>
    <row r="65" spans="2:15" ht="15" customHeight="1" x14ac:dyDescent="0.25">
      <c r="B65" s="170" t="str">
        <f>IF(NOT(ISBLANK('Application Matrix'!B17)),'Application Matrix'!B17,"")</f>
        <v>Safety</v>
      </c>
      <c r="C65" s="171"/>
      <c r="D65" s="171"/>
      <c r="E65" s="174" t="str">
        <f>IF(NOT(ISBLANK('Application Matrix'!C17)),'Application Matrix'!C17,"")</f>
        <v>Does the corridor have a frequent crash problem?</v>
      </c>
      <c r="F65" s="175"/>
      <c r="G65" s="175"/>
      <c r="H65" s="175"/>
      <c r="I65" s="175"/>
      <c r="J65" s="175"/>
      <c r="K65" s="175"/>
      <c r="L65" s="175"/>
      <c r="M65" s="175"/>
      <c r="N65" s="178" t="s">
        <v>47</v>
      </c>
      <c r="O65" s="179"/>
    </row>
    <row r="66" spans="2:15" ht="15" customHeight="1" x14ac:dyDescent="0.25">
      <c r="B66" s="170" t="str">
        <f>IF(NOT(ISBLANK('Application Matrix'!B18)),'Application Matrix'!B18,"")</f>
        <v>Safety</v>
      </c>
      <c r="C66" s="171"/>
      <c r="D66" s="171"/>
      <c r="E66" s="174" t="str">
        <f>IF(NOT(ISBLANK('Application Matrix'!C18)),'Application Matrix'!C18,"")</f>
        <v>Will this work zone have reduced lane widths or reduced sight distance impact?</v>
      </c>
      <c r="F66" s="175"/>
      <c r="G66" s="175"/>
      <c r="H66" s="175"/>
      <c r="I66" s="175"/>
      <c r="J66" s="175"/>
      <c r="K66" s="175"/>
      <c r="L66" s="175"/>
      <c r="M66" s="175"/>
      <c r="N66" s="178" t="s">
        <v>47</v>
      </c>
      <c r="O66" s="179"/>
    </row>
    <row r="67" spans="2:15" ht="15" customHeight="1" x14ac:dyDescent="0.25">
      <c r="B67" s="170" t="str">
        <f>IF(NOT(ISBLANK('Application Matrix'!B19)),'Application Matrix'!B19,"")</f>
        <v>Safety</v>
      </c>
      <c r="C67" s="171"/>
      <c r="D67" s="171"/>
      <c r="E67" s="174" t="str">
        <f>IF(NOT(ISBLANK('Application Matrix'!C19)),'Application Matrix'!C19,"")</f>
        <v>Will temporary ramp geometry constrain acceleration lanes?</v>
      </c>
      <c r="F67" s="175"/>
      <c r="G67" s="175"/>
      <c r="H67" s="175"/>
      <c r="I67" s="175"/>
      <c r="J67" s="175"/>
      <c r="K67" s="175"/>
      <c r="L67" s="175"/>
      <c r="M67" s="175"/>
      <c r="N67" s="178" t="s">
        <v>47</v>
      </c>
      <c r="O67" s="179"/>
    </row>
    <row r="68" spans="2:15" ht="15" customHeight="1" x14ac:dyDescent="0.25">
      <c r="B68" s="170" t="str">
        <f>IF(NOT(ISBLANK('Application Matrix'!B20)),'Application Matrix'!B20,"")</f>
        <v>Productivity</v>
      </c>
      <c r="C68" s="171"/>
      <c r="D68" s="171"/>
      <c r="E68" s="174" t="str">
        <f>IF(NOT(ISBLANK('Application Matrix'!C20)),'Application Matrix'!C20,"")</f>
        <v>Will construction vehicles access site from travel lanes?</v>
      </c>
      <c r="F68" s="175"/>
      <c r="G68" s="175"/>
      <c r="H68" s="175"/>
      <c r="I68" s="175"/>
      <c r="J68" s="175"/>
      <c r="K68" s="175"/>
      <c r="L68" s="175"/>
      <c r="M68" s="175"/>
      <c r="N68" s="178" t="s">
        <v>47</v>
      </c>
      <c r="O68" s="179"/>
    </row>
    <row r="69" spans="2:15" ht="15" customHeight="1" x14ac:dyDescent="0.25">
      <c r="B69" s="170" t="str">
        <f>IF(NOT(ISBLANK('Application Matrix'!B21)),'Application Matrix'!B21,"")</f>
        <v>Productivity</v>
      </c>
      <c r="C69" s="171"/>
      <c r="D69" s="171"/>
      <c r="E69" s="174" t="str">
        <f>IF(NOT(ISBLANK('Application Matrix'!C21)),'Application Matrix'!C21,"")</f>
        <v>Are there ramps or construction access points with vertical or horizontal sight distance restrictions?</v>
      </c>
      <c r="F69" s="175"/>
      <c r="G69" s="175"/>
      <c r="H69" s="175"/>
      <c r="I69" s="175"/>
      <c r="J69" s="175"/>
      <c r="K69" s="175"/>
      <c r="L69" s="175"/>
      <c r="M69" s="175"/>
      <c r="N69" s="178" t="s">
        <v>47</v>
      </c>
      <c r="O69" s="179"/>
    </row>
    <row r="70" spans="2:15" ht="15" customHeight="1" x14ac:dyDescent="0.25">
      <c r="B70" s="170" t="str">
        <f>IF(NOT(ISBLANK('Application Matrix'!B22)),'Application Matrix'!B22,"")</f>
        <v>Productivity</v>
      </c>
      <c r="C70" s="171"/>
      <c r="D70" s="171"/>
      <c r="E70" s="174" t="str">
        <f>IF(NOT(ISBLANK('Application Matrix'!C22)),'Application Matrix'!C22,"")</f>
        <v>Will there be a high volume of construction vehicles requiring access to the work zone?</v>
      </c>
      <c r="F70" s="175"/>
      <c r="G70" s="175"/>
      <c r="H70" s="175"/>
      <c r="I70" s="175"/>
      <c r="J70" s="175"/>
      <c r="K70" s="175"/>
      <c r="L70" s="175"/>
      <c r="M70" s="175"/>
      <c r="N70" s="178" t="s">
        <v>47</v>
      </c>
      <c r="O70" s="179"/>
    </row>
    <row r="71" spans="2:15" ht="15" customHeight="1" x14ac:dyDescent="0.25">
      <c r="B71" s="170" t="str">
        <f>IF(NOT(ISBLANK('Application Matrix'!B23)),'Application Matrix'!B23,"")</f>
        <v>Productivity</v>
      </c>
      <c r="C71" s="171"/>
      <c r="D71" s="171"/>
      <c r="E71" s="174" t="str">
        <f>IF(NOT(ISBLANK('Application Matrix'!C23)),'Application Matrix'!C23,"")</f>
        <v>Will any exisiting ITS devices be incorporated into the smart work zone?</v>
      </c>
      <c r="F71" s="175"/>
      <c r="G71" s="175"/>
      <c r="H71" s="175"/>
      <c r="I71" s="175"/>
      <c r="J71" s="175"/>
      <c r="K71" s="175"/>
      <c r="L71" s="175"/>
      <c r="M71" s="175"/>
      <c r="N71" s="178" t="s">
        <v>47</v>
      </c>
      <c r="O71" s="179"/>
    </row>
    <row r="72" spans="2:15" ht="15" customHeight="1" x14ac:dyDescent="0.25">
      <c r="B72" s="170" t="str">
        <f>IF(NOT(ISBLANK('Application Matrix'!B24)),'Application Matrix'!B24,"")</f>
        <v>Regulatory</v>
      </c>
      <c r="C72" s="171"/>
      <c r="D72" s="171"/>
      <c r="E72" s="174" t="str">
        <f>IF(NOT(ISBLANK('Application Matrix'!C24)),'Application Matrix'!C24,"")</f>
        <v>Is automated enforcement legal in your state?</v>
      </c>
      <c r="F72" s="175"/>
      <c r="G72" s="175"/>
      <c r="H72" s="175"/>
      <c r="I72" s="175"/>
      <c r="J72" s="175"/>
      <c r="K72" s="175"/>
      <c r="L72" s="175"/>
      <c r="M72" s="175"/>
      <c r="N72" s="178" t="s">
        <v>47</v>
      </c>
      <c r="O72" s="179"/>
    </row>
    <row r="73" spans="2:15" ht="15" customHeight="1" x14ac:dyDescent="0.25">
      <c r="B73" s="170" t="str">
        <f>IF(NOT(ISBLANK('Application Matrix'!B25)),'Application Matrix'!B25,"")</f>
        <v>Regulatory</v>
      </c>
      <c r="C73" s="171"/>
      <c r="D73" s="171"/>
      <c r="E73" s="174" t="str">
        <f>IF(NOT(ISBLANK('Application Matrix'!C25)),'Application Matrix'!C25,"")</f>
        <v>Are there specific agency policies for work zones?</v>
      </c>
      <c r="F73" s="175"/>
      <c r="G73" s="175"/>
      <c r="H73" s="175"/>
      <c r="I73" s="175"/>
      <c r="J73" s="175"/>
      <c r="K73" s="175"/>
      <c r="L73" s="175"/>
      <c r="M73" s="175"/>
      <c r="N73" s="178" t="s">
        <v>47</v>
      </c>
      <c r="O73" s="179"/>
    </row>
    <row r="74" spans="2:15" ht="15" customHeight="1" x14ac:dyDescent="0.25">
      <c r="B74" s="170" t="str">
        <f>IF(NOT(ISBLANK('Application Matrix'!B26)),'Application Matrix'!B26,"")</f>
        <v>Regulatory</v>
      </c>
      <c r="C74" s="171"/>
      <c r="D74" s="171"/>
      <c r="E74" s="174" t="str">
        <f>IF(NOT(ISBLANK('Application Matrix'!C26)),'Application Matrix'!C26,"")</f>
        <v>Does the agency have existing performance targets for work zones?</v>
      </c>
      <c r="F74" s="175"/>
      <c r="G74" s="175"/>
      <c r="H74" s="175"/>
      <c r="I74" s="175"/>
      <c r="J74" s="175"/>
      <c r="K74" s="175"/>
      <c r="L74" s="175"/>
      <c r="M74" s="175"/>
      <c r="N74" s="178" t="s">
        <v>47</v>
      </c>
      <c r="O74" s="179"/>
    </row>
    <row r="75" spans="2:15" ht="15" customHeight="1" x14ac:dyDescent="0.25">
      <c r="B75" s="170" t="str">
        <f>IF(NOT(ISBLANK('Application Matrix'!B27)),'Application Matrix'!B27,"")</f>
        <v>Regulatory</v>
      </c>
      <c r="C75" s="171"/>
      <c r="D75" s="171"/>
      <c r="E75" s="174" t="str">
        <f>IF(NOT(ISBLANK('Application Matrix'!C27)),'Application Matrix'!C27,"")</f>
        <v>Is there a mobility goal?</v>
      </c>
      <c r="F75" s="175"/>
      <c r="G75" s="175"/>
      <c r="H75" s="175"/>
      <c r="I75" s="175"/>
      <c r="J75" s="175"/>
      <c r="K75" s="175"/>
      <c r="L75" s="175"/>
      <c r="M75" s="175"/>
      <c r="N75" s="178" t="s">
        <v>47</v>
      </c>
      <c r="O75" s="179"/>
    </row>
    <row r="76" spans="2:15" ht="15" customHeight="1" x14ac:dyDescent="0.25">
      <c r="B76" s="170" t="str">
        <f>IF(NOT(ISBLANK('Application Matrix'!B28)),'Application Matrix'!B28,"")</f>
        <v>Regulatory</v>
      </c>
      <c r="C76" s="171"/>
      <c r="D76" s="171"/>
      <c r="E76" s="174" t="str">
        <f>IF(NOT(ISBLANK('Application Matrix'!C28)),'Application Matrix'!C28,"")</f>
        <v>Will the work zone be included in the federally-mandated biannual process review?</v>
      </c>
      <c r="F76" s="175"/>
      <c r="G76" s="175"/>
      <c r="H76" s="175"/>
      <c r="I76" s="175"/>
      <c r="J76" s="175"/>
      <c r="K76" s="175"/>
      <c r="L76" s="175"/>
      <c r="M76" s="175"/>
      <c r="N76" s="178" t="s">
        <v>47</v>
      </c>
      <c r="O76" s="179"/>
    </row>
    <row r="77" spans="2:15" ht="15" customHeight="1" x14ac:dyDescent="0.25">
      <c r="B77" s="170" t="str">
        <f>IF(NOT(ISBLANK('Application Matrix'!B29)),'Application Matrix'!B29,"")</f>
        <v>Traveler Information</v>
      </c>
      <c r="C77" s="171"/>
      <c r="D77" s="171"/>
      <c r="E77" s="174" t="str">
        <f>IF(NOT(ISBLANK('Application Matrix'!C29)),'Application Matrix'!C29,"")</f>
        <v>Will outreach and traveler information be used for this work zone?</v>
      </c>
      <c r="F77" s="175"/>
      <c r="G77" s="175"/>
      <c r="H77" s="175"/>
      <c r="I77" s="175"/>
      <c r="J77" s="175"/>
      <c r="K77" s="175"/>
      <c r="L77" s="175"/>
      <c r="M77" s="175"/>
      <c r="N77" s="178" t="s">
        <v>47</v>
      </c>
      <c r="O77" s="179"/>
    </row>
    <row r="78" spans="2:15" ht="15" customHeight="1" x14ac:dyDescent="0.25">
      <c r="B78" s="170" t="str">
        <f>IF(NOT(ISBLANK('Application Matrix'!B30)),'Application Matrix'!B30,"")</f>
        <v/>
      </c>
      <c r="C78" s="171"/>
      <c r="D78" s="171"/>
      <c r="E78" s="174" t="str">
        <f>IF(NOT(ISBLANK('Application Matrix'!C30)),'Application Matrix'!C30,"")</f>
        <v/>
      </c>
      <c r="F78" s="175"/>
      <c r="G78" s="175"/>
      <c r="H78" s="175"/>
      <c r="I78" s="175"/>
      <c r="J78" s="175"/>
      <c r="K78" s="175"/>
      <c r="L78" s="175"/>
      <c r="M78" s="175"/>
      <c r="N78" s="178" t="s">
        <v>47</v>
      </c>
      <c r="O78" s="179"/>
    </row>
    <row r="79" spans="2:15" ht="15" customHeight="1" x14ac:dyDescent="0.25">
      <c r="B79" s="170" t="str">
        <f>IF(NOT(ISBLANK('Application Matrix'!B31)),'Application Matrix'!B31,"")</f>
        <v/>
      </c>
      <c r="C79" s="171"/>
      <c r="D79" s="171"/>
      <c r="E79" s="174" t="str">
        <f>IF(NOT(ISBLANK('Application Matrix'!C31)),'Application Matrix'!C31,"")</f>
        <v/>
      </c>
      <c r="F79" s="175"/>
      <c r="G79" s="175"/>
      <c r="H79" s="175"/>
      <c r="I79" s="175"/>
      <c r="J79" s="175"/>
      <c r="K79" s="175"/>
      <c r="L79" s="175"/>
      <c r="M79" s="175"/>
      <c r="N79" s="178" t="s">
        <v>47</v>
      </c>
      <c r="O79" s="179"/>
    </row>
    <row r="85" spans="2:15" ht="36" x14ac:dyDescent="0.25">
      <c r="B85" s="176" t="s">
        <v>112</v>
      </c>
      <c r="C85" s="176"/>
      <c r="D85" s="176"/>
      <c r="E85" s="176"/>
      <c r="F85" s="176"/>
      <c r="G85" s="176"/>
      <c r="H85" s="176"/>
      <c r="I85" s="176"/>
      <c r="J85" s="176"/>
      <c r="K85" s="176"/>
      <c r="L85" s="176"/>
      <c r="M85" s="176"/>
      <c r="N85" s="176"/>
      <c r="O85" s="176"/>
    </row>
    <row r="86" spans="2:15" ht="15" customHeight="1" x14ac:dyDescent="0.25">
      <c r="B86" s="183" t="s">
        <v>82</v>
      </c>
      <c r="C86" s="183"/>
      <c r="D86" s="183"/>
      <c r="E86" s="183"/>
      <c r="F86" s="183"/>
      <c r="G86" s="183"/>
      <c r="H86" s="183"/>
      <c r="I86" s="183"/>
      <c r="J86" s="183"/>
      <c r="K86" s="183"/>
      <c r="L86" s="183"/>
      <c r="M86" s="183"/>
      <c r="N86" s="183"/>
      <c r="O86" s="183"/>
    </row>
    <row r="87" spans="2:15" ht="15.75" customHeight="1" x14ac:dyDescent="0.25">
      <c r="B87" s="183"/>
      <c r="C87" s="183"/>
      <c r="D87" s="183"/>
      <c r="E87" s="183"/>
      <c r="F87" s="183"/>
      <c r="G87" s="183"/>
      <c r="H87" s="183"/>
      <c r="I87" s="183"/>
      <c r="J87" s="183"/>
      <c r="K87" s="183"/>
      <c r="L87" s="183"/>
      <c r="M87" s="183"/>
      <c r="N87" s="183"/>
      <c r="O87" s="183"/>
    </row>
    <row r="88" spans="2:15" ht="15.75" thickBot="1" x14ac:dyDescent="0.3">
      <c r="B88" s="56"/>
      <c r="C88" s="44"/>
      <c r="D88" s="57"/>
    </row>
    <row r="89" spans="2:15" ht="19.5" thickBot="1" x14ac:dyDescent="0.3">
      <c r="B89" s="184" t="s">
        <v>83</v>
      </c>
      <c r="C89" s="185"/>
      <c r="D89" s="185"/>
      <c r="E89" s="185"/>
      <c r="F89" s="185"/>
      <c r="G89" s="185"/>
      <c r="H89" s="185"/>
      <c r="I89" s="185"/>
      <c r="J89" s="185"/>
      <c r="K89" s="185"/>
      <c r="L89" s="185"/>
      <c r="M89" s="186"/>
      <c r="N89" s="187" t="s">
        <v>49</v>
      </c>
      <c r="O89" s="188"/>
    </row>
    <row r="90" spans="2:15" ht="15.75" thickBot="1" x14ac:dyDescent="0.3">
      <c r="B90" s="180"/>
      <c r="C90" s="181"/>
      <c r="D90" s="181"/>
      <c r="E90" s="181"/>
      <c r="F90" s="181"/>
      <c r="G90" s="181"/>
      <c r="H90" s="181"/>
      <c r="I90" s="181"/>
      <c r="J90" s="181"/>
      <c r="K90" s="181"/>
      <c r="L90" s="181"/>
      <c r="M90" s="182"/>
      <c r="N90" s="180"/>
      <c r="O90" s="181"/>
    </row>
    <row r="91" spans="2:15" ht="15.75" thickBot="1" x14ac:dyDescent="0.3">
      <c r="B91" s="180"/>
      <c r="C91" s="181"/>
      <c r="D91" s="181"/>
      <c r="E91" s="181"/>
      <c r="F91" s="181"/>
      <c r="G91" s="181"/>
      <c r="H91" s="181"/>
      <c r="I91" s="181"/>
      <c r="J91" s="181"/>
      <c r="K91" s="181"/>
      <c r="L91" s="181"/>
      <c r="M91" s="182"/>
      <c r="N91" s="180"/>
      <c r="O91" s="181"/>
    </row>
    <row r="92" spans="2:15" ht="15.75" thickBot="1" x14ac:dyDescent="0.3">
      <c r="B92" s="180"/>
      <c r="C92" s="181"/>
      <c r="D92" s="181"/>
      <c r="E92" s="181"/>
      <c r="F92" s="181"/>
      <c r="G92" s="181"/>
      <c r="H92" s="181"/>
      <c r="I92" s="181"/>
      <c r="J92" s="181"/>
      <c r="K92" s="181"/>
      <c r="L92" s="181"/>
      <c r="M92" s="182"/>
      <c r="N92" s="180"/>
      <c r="O92" s="181"/>
    </row>
    <row r="93" spans="2:15" ht="15.75" thickBot="1" x14ac:dyDescent="0.3">
      <c r="B93" s="180"/>
      <c r="C93" s="181"/>
      <c r="D93" s="181"/>
      <c r="E93" s="181"/>
      <c r="F93" s="181"/>
      <c r="G93" s="181"/>
      <c r="H93" s="181"/>
      <c r="I93" s="181"/>
      <c r="J93" s="181"/>
      <c r="K93" s="181"/>
      <c r="L93" s="181"/>
      <c r="M93" s="182"/>
      <c r="N93" s="180"/>
      <c r="O93" s="181"/>
    </row>
    <row r="94" spans="2:15" ht="15.75" thickBot="1" x14ac:dyDescent="0.3">
      <c r="B94" s="180"/>
      <c r="C94" s="181"/>
      <c r="D94" s="181"/>
      <c r="E94" s="181"/>
      <c r="F94" s="181"/>
      <c r="G94" s="181"/>
      <c r="H94" s="181"/>
      <c r="I94" s="181"/>
      <c r="J94" s="181"/>
      <c r="K94" s="181"/>
      <c r="L94" s="181"/>
      <c r="M94" s="182"/>
      <c r="N94" s="180"/>
      <c r="O94" s="181"/>
    </row>
    <row r="95" spans="2:15" ht="15.75" thickBot="1" x14ac:dyDescent="0.3">
      <c r="B95" s="180"/>
      <c r="C95" s="181"/>
      <c r="D95" s="181"/>
      <c r="E95" s="181"/>
      <c r="F95" s="181"/>
      <c r="G95" s="181"/>
      <c r="H95" s="181"/>
      <c r="I95" s="181"/>
      <c r="J95" s="181"/>
      <c r="K95" s="181"/>
      <c r="L95" s="181"/>
      <c r="M95" s="182"/>
      <c r="N95" s="180"/>
      <c r="O95" s="181"/>
    </row>
    <row r="96" spans="2:15" ht="15.75" thickBot="1" x14ac:dyDescent="0.3">
      <c r="B96" s="180"/>
      <c r="C96" s="181"/>
      <c r="D96" s="181"/>
      <c r="E96" s="181"/>
      <c r="F96" s="181"/>
      <c r="G96" s="181"/>
      <c r="H96" s="181"/>
      <c r="I96" s="181"/>
      <c r="J96" s="181"/>
      <c r="K96" s="181"/>
      <c r="L96" s="181"/>
      <c r="M96" s="182"/>
      <c r="N96" s="180"/>
      <c r="O96" s="181"/>
    </row>
    <row r="97" spans="2:15" ht="15.75" thickBot="1" x14ac:dyDescent="0.3">
      <c r="B97" s="180"/>
      <c r="C97" s="181"/>
      <c r="D97" s="181"/>
      <c r="E97" s="181"/>
      <c r="F97" s="181"/>
      <c r="G97" s="181"/>
      <c r="H97" s="181"/>
      <c r="I97" s="181"/>
      <c r="J97" s="181"/>
      <c r="K97" s="181"/>
      <c r="L97" s="181"/>
      <c r="M97" s="182"/>
      <c r="N97" s="180"/>
      <c r="O97" s="181"/>
    </row>
    <row r="98" spans="2:15" ht="15.75" thickBot="1" x14ac:dyDescent="0.3">
      <c r="B98" s="180"/>
      <c r="C98" s="181"/>
      <c r="D98" s="181"/>
      <c r="E98" s="181"/>
      <c r="F98" s="181"/>
      <c r="G98" s="181"/>
      <c r="H98" s="181"/>
      <c r="I98" s="181"/>
      <c r="J98" s="181"/>
      <c r="K98" s="181"/>
      <c r="L98" s="181"/>
      <c r="M98" s="182"/>
      <c r="N98" s="180"/>
      <c r="O98" s="181"/>
    </row>
    <row r="99" spans="2:15" ht="15.75" thickBot="1" x14ac:dyDescent="0.3">
      <c r="B99" s="180"/>
      <c r="C99" s="181"/>
      <c r="D99" s="181"/>
      <c r="E99" s="181"/>
      <c r="F99" s="181"/>
      <c r="G99" s="181"/>
      <c r="H99" s="181"/>
      <c r="I99" s="181"/>
      <c r="J99" s="181"/>
      <c r="K99" s="181"/>
      <c r="L99" s="181"/>
      <c r="M99" s="182"/>
      <c r="N99" s="180"/>
      <c r="O99" s="181"/>
    </row>
    <row r="100" spans="2:15" ht="15.75" thickBot="1" x14ac:dyDescent="0.3">
      <c r="B100" s="180"/>
      <c r="C100" s="181"/>
      <c r="D100" s="181"/>
      <c r="E100" s="181"/>
      <c r="F100" s="181"/>
      <c r="G100" s="181"/>
      <c r="H100" s="181"/>
      <c r="I100" s="181"/>
      <c r="J100" s="181"/>
      <c r="K100" s="181"/>
      <c r="L100" s="181"/>
      <c r="M100" s="182"/>
      <c r="N100" s="180"/>
      <c r="O100" s="181"/>
    </row>
    <row r="101" spans="2:15" ht="15.75" thickBot="1" x14ac:dyDescent="0.3">
      <c r="B101" s="180"/>
      <c r="C101" s="181"/>
      <c r="D101" s="181"/>
      <c r="E101" s="181"/>
      <c r="F101" s="181"/>
      <c r="G101" s="181"/>
      <c r="H101" s="181"/>
      <c r="I101" s="181"/>
      <c r="J101" s="181"/>
      <c r="K101" s="181"/>
      <c r="L101" s="181"/>
      <c r="M101" s="182"/>
      <c r="N101" s="180"/>
      <c r="O101" s="181"/>
    </row>
    <row r="102" spans="2:15" ht="15.75" thickBot="1" x14ac:dyDescent="0.3">
      <c r="B102" s="180"/>
      <c r="C102" s="181"/>
      <c r="D102" s="181"/>
      <c r="E102" s="181"/>
      <c r="F102" s="181"/>
      <c r="G102" s="181"/>
      <c r="H102" s="181"/>
      <c r="I102" s="181"/>
      <c r="J102" s="181"/>
      <c r="K102" s="181"/>
      <c r="L102" s="181"/>
      <c r="M102" s="182"/>
      <c r="N102" s="180"/>
      <c r="O102" s="181"/>
    </row>
    <row r="103" spans="2:15" ht="15.75" thickBot="1" x14ac:dyDescent="0.3">
      <c r="B103" s="180"/>
      <c r="C103" s="181"/>
      <c r="D103" s="181"/>
      <c r="E103" s="181"/>
      <c r="F103" s="181"/>
      <c r="G103" s="181"/>
      <c r="H103" s="181"/>
      <c r="I103" s="181"/>
      <c r="J103" s="181"/>
      <c r="K103" s="181"/>
      <c r="L103" s="181"/>
      <c r="M103" s="182"/>
      <c r="N103" s="180"/>
      <c r="O103" s="181"/>
    </row>
    <row r="104" spans="2:15" ht="15.75" thickBot="1" x14ac:dyDescent="0.3">
      <c r="B104" s="180"/>
      <c r="C104" s="181"/>
      <c r="D104" s="181"/>
      <c r="E104" s="181"/>
      <c r="F104" s="181"/>
      <c r="G104" s="181"/>
      <c r="H104" s="181"/>
      <c r="I104" s="181"/>
      <c r="J104" s="181"/>
      <c r="K104" s="181"/>
      <c r="L104" s="181"/>
      <c r="M104" s="182"/>
      <c r="N104" s="180"/>
      <c r="O104" s="181"/>
    </row>
    <row r="105" spans="2:15" ht="15.75" thickBot="1" x14ac:dyDescent="0.3">
      <c r="B105" s="180"/>
      <c r="C105" s="181"/>
      <c r="D105" s="181"/>
      <c r="E105" s="181"/>
      <c r="F105" s="181"/>
      <c r="G105" s="181"/>
      <c r="H105" s="181"/>
      <c r="I105" s="181"/>
      <c r="J105" s="181"/>
      <c r="K105" s="181"/>
      <c r="L105" s="181"/>
      <c r="M105" s="182"/>
      <c r="N105" s="180"/>
      <c r="O105" s="181"/>
    </row>
    <row r="106" spans="2:15" ht="15.75" thickBot="1" x14ac:dyDescent="0.3">
      <c r="B106" s="180"/>
      <c r="C106" s="181"/>
      <c r="D106" s="181"/>
      <c r="E106" s="181"/>
      <c r="F106" s="181"/>
      <c r="G106" s="181"/>
      <c r="H106" s="181"/>
      <c r="I106" s="181"/>
      <c r="J106" s="181"/>
      <c r="K106" s="181"/>
      <c r="L106" s="181"/>
      <c r="M106" s="182"/>
      <c r="N106" s="180"/>
      <c r="O106" s="181"/>
    </row>
    <row r="107" spans="2:15" ht="15.75" thickBot="1" x14ac:dyDescent="0.3">
      <c r="B107" s="180"/>
      <c r="C107" s="181"/>
      <c r="D107" s="181"/>
      <c r="E107" s="181"/>
      <c r="F107" s="181"/>
      <c r="G107" s="181"/>
      <c r="H107" s="181"/>
      <c r="I107" s="181"/>
      <c r="J107" s="181"/>
      <c r="K107" s="181"/>
      <c r="L107" s="181"/>
      <c r="M107" s="182"/>
      <c r="N107" s="180"/>
      <c r="O107" s="181"/>
    </row>
    <row r="108" spans="2:15" ht="15.75" thickBot="1" x14ac:dyDescent="0.3">
      <c r="B108" s="180"/>
      <c r="C108" s="181"/>
      <c r="D108" s="181"/>
      <c r="E108" s="181"/>
      <c r="F108" s="181"/>
      <c r="G108" s="181"/>
      <c r="H108" s="181"/>
      <c r="I108" s="181"/>
      <c r="J108" s="181"/>
      <c r="K108" s="181"/>
      <c r="L108" s="181"/>
      <c r="M108" s="182"/>
      <c r="N108" s="180"/>
      <c r="O108" s="181"/>
    </row>
    <row r="109" spans="2:15" ht="15.75" thickBot="1" x14ac:dyDescent="0.3">
      <c r="B109" s="180"/>
      <c r="C109" s="181"/>
      <c r="D109" s="181"/>
      <c r="E109" s="181"/>
      <c r="F109" s="181"/>
      <c r="G109" s="181"/>
      <c r="H109" s="181"/>
      <c r="I109" s="181"/>
      <c r="J109" s="181"/>
      <c r="K109" s="181"/>
      <c r="L109" s="181"/>
      <c r="M109" s="182"/>
      <c r="N109" s="180"/>
      <c r="O109" s="181"/>
    </row>
    <row r="110" spans="2:15" ht="15.75" thickBot="1" x14ac:dyDescent="0.3">
      <c r="B110" s="180"/>
      <c r="C110" s="181"/>
      <c r="D110" s="181"/>
      <c r="E110" s="181"/>
      <c r="F110" s="181"/>
      <c r="G110" s="181"/>
      <c r="H110" s="181"/>
      <c r="I110" s="181"/>
      <c r="J110" s="181"/>
      <c r="K110" s="181"/>
      <c r="L110" s="181"/>
      <c r="M110" s="182"/>
      <c r="N110" s="180"/>
      <c r="O110" s="181"/>
    </row>
    <row r="111" spans="2:15" ht="15.75" thickBot="1" x14ac:dyDescent="0.3">
      <c r="B111" s="180"/>
      <c r="C111" s="181"/>
      <c r="D111" s="181"/>
      <c r="E111" s="181"/>
      <c r="F111" s="181"/>
      <c r="G111" s="181"/>
      <c r="H111" s="181"/>
      <c r="I111" s="181"/>
      <c r="J111" s="181"/>
      <c r="K111" s="181"/>
      <c r="L111" s="181"/>
      <c r="M111" s="182"/>
      <c r="N111" s="180"/>
      <c r="O111" s="181"/>
    </row>
  </sheetData>
  <sheetProtection sheet="1" objects="1" scenarios="1"/>
  <mergeCells count="138">
    <mergeCell ref="B109:M109"/>
    <mergeCell ref="B110:M110"/>
    <mergeCell ref="B111:M111"/>
    <mergeCell ref="N89:O89"/>
    <mergeCell ref="N90:O90"/>
    <mergeCell ref="N91:O91"/>
    <mergeCell ref="N92:O92"/>
    <mergeCell ref="N93:O93"/>
    <mergeCell ref="N94:O94"/>
    <mergeCell ref="N95:O95"/>
    <mergeCell ref="N96:O96"/>
    <mergeCell ref="N97:O97"/>
    <mergeCell ref="N98:O98"/>
    <mergeCell ref="N107:O107"/>
    <mergeCell ref="N108:O108"/>
    <mergeCell ref="N109:O109"/>
    <mergeCell ref="N110:O110"/>
    <mergeCell ref="N111:O111"/>
    <mergeCell ref="N102:O102"/>
    <mergeCell ref="N103:O103"/>
    <mergeCell ref="N104:O104"/>
    <mergeCell ref="N105:O105"/>
    <mergeCell ref="N106:O106"/>
    <mergeCell ref="B105:M105"/>
    <mergeCell ref="B106:M106"/>
    <mergeCell ref="B107:M107"/>
    <mergeCell ref="B108:M108"/>
    <mergeCell ref="N77:O77"/>
    <mergeCell ref="N78:O78"/>
    <mergeCell ref="N79:O79"/>
    <mergeCell ref="E78:M78"/>
    <mergeCell ref="E79:M79"/>
    <mergeCell ref="B79:D79"/>
    <mergeCell ref="B77:D77"/>
    <mergeCell ref="B78:D78"/>
    <mergeCell ref="N99:O99"/>
    <mergeCell ref="N100:O100"/>
    <mergeCell ref="N101:O101"/>
    <mergeCell ref="B86:O87"/>
    <mergeCell ref="B89:M89"/>
    <mergeCell ref="B90:M90"/>
    <mergeCell ref="B91:M91"/>
    <mergeCell ref="B92:M92"/>
    <mergeCell ref="B93:M93"/>
    <mergeCell ref="B94:M94"/>
    <mergeCell ref="B95:M95"/>
    <mergeCell ref="B96:M96"/>
    <mergeCell ref="N59:O59"/>
    <mergeCell ref="N60:O60"/>
    <mergeCell ref="N61:O61"/>
    <mergeCell ref="N62:O62"/>
    <mergeCell ref="N63:O63"/>
    <mergeCell ref="N64:O64"/>
    <mergeCell ref="B102:M102"/>
    <mergeCell ref="B103:M103"/>
    <mergeCell ref="B104:M104"/>
    <mergeCell ref="B97:M97"/>
    <mergeCell ref="B98:M98"/>
    <mergeCell ref="B99:M99"/>
    <mergeCell ref="B100:M100"/>
    <mergeCell ref="B101:M101"/>
    <mergeCell ref="B85:O85"/>
    <mergeCell ref="E60:M60"/>
    <mergeCell ref="E61:M61"/>
    <mergeCell ref="N65:O65"/>
    <mergeCell ref="N66:O66"/>
    <mergeCell ref="E73:M73"/>
    <mergeCell ref="E74:M74"/>
    <mergeCell ref="E75:M75"/>
    <mergeCell ref="E76:M76"/>
    <mergeCell ref="E77:M77"/>
    <mergeCell ref="N76:O76"/>
    <mergeCell ref="N67:O67"/>
    <mergeCell ref="N68:O68"/>
    <mergeCell ref="N69:O69"/>
    <mergeCell ref="N70:O70"/>
    <mergeCell ref="N71:O71"/>
    <mergeCell ref="E62:M62"/>
    <mergeCell ref="E63:M63"/>
    <mergeCell ref="E64:M64"/>
    <mergeCell ref="E65:M65"/>
    <mergeCell ref="E66:M66"/>
    <mergeCell ref="E67:M67"/>
    <mergeCell ref="E68:M68"/>
    <mergeCell ref="E69:M69"/>
    <mergeCell ref="E70:M70"/>
    <mergeCell ref="E71:M71"/>
    <mergeCell ref="E72:M72"/>
    <mergeCell ref="N72:O72"/>
    <mergeCell ref="N73:O73"/>
    <mergeCell ref="N74:O74"/>
    <mergeCell ref="N75:O75"/>
    <mergeCell ref="B74:D74"/>
    <mergeCell ref="B75:D75"/>
    <mergeCell ref="B76:D76"/>
    <mergeCell ref="B69:D69"/>
    <mergeCell ref="B70:D70"/>
    <mergeCell ref="B71:D71"/>
    <mergeCell ref="B72:D72"/>
    <mergeCell ref="B73:D73"/>
    <mergeCell ref="B64:D64"/>
    <mergeCell ref="B65:D65"/>
    <mergeCell ref="B66:D66"/>
    <mergeCell ref="B67:D67"/>
    <mergeCell ref="B68:D68"/>
    <mergeCell ref="B60:D60"/>
    <mergeCell ref="B61:D61"/>
    <mergeCell ref="B62:D62"/>
    <mergeCell ref="B63:D63"/>
    <mergeCell ref="B54:D54"/>
    <mergeCell ref="B55:D55"/>
    <mergeCell ref="B56:D56"/>
    <mergeCell ref="B57:D57"/>
    <mergeCell ref="B58:D58"/>
    <mergeCell ref="B53:D53"/>
    <mergeCell ref="C36:J38"/>
    <mergeCell ref="C8:J11"/>
    <mergeCell ref="C13:J17"/>
    <mergeCell ref="C32:J33"/>
    <mergeCell ref="C2:K3"/>
    <mergeCell ref="C4:K7"/>
    <mergeCell ref="C19:J21"/>
    <mergeCell ref="B59:D59"/>
    <mergeCell ref="E53:M53"/>
    <mergeCell ref="E54:M54"/>
    <mergeCell ref="E55:M55"/>
    <mergeCell ref="E56:M56"/>
    <mergeCell ref="E57:M57"/>
    <mergeCell ref="E58:M58"/>
    <mergeCell ref="E59:M59"/>
    <mergeCell ref="B50:O50"/>
    <mergeCell ref="B51:O51"/>
    <mergeCell ref="N53:O53"/>
    <mergeCell ref="N54:O54"/>
    <mergeCell ref="N55:O55"/>
    <mergeCell ref="N56:O56"/>
    <mergeCell ref="N57:O57"/>
    <mergeCell ref="N58:O58"/>
  </mergeCells>
  <conditionalFormatting sqref="N54:N79">
    <cfRule type="containsText" dxfId="35" priority="1" operator="containsText" text="yes">
      <formula>NOT(ISERROR(SEARCH("yes",N54)))</formula>
    </cfRule>
    <cfRule type="containsText" dxfId="34" priority="2" operator="containsText" text="No">
      <formula>NOT(ISERROR(SEARCH("No",N54)))</formula>
    </cfRule>
    <cfRule type="containsText" dxfId="33" priority="3" operator="containsText" text="Select from menu">
      <formula>NOT(ISERROR(SEARCH("Select from menu",N54)))</formula>
    </cfRule>
  </conditionalFormatting>
  <dataValidations count="1">
    <dataValidation type="list" allowBlank="1" showInputMessage="1" showErrorMessage="1" sqref="N54:O79" xr:uid="{F65EC24D-C9F9-4408-B6A3-2D2B7011F325}">
      <formula1>$Q$53:$Q$55</formula1>
    </dataValidation>
  </dataValidations>
  <hyperlinks>
    <hyperlink ref="G44" r:id="rId1" xr:uid="{00000000-0004-0000-0100-000000000000}"/>
    <hyperlink ref="C44" r:id="rId2" xr:uid="{00000000-0004-0000-0100-00000100000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7" r:id="rId6" name="Button 3">
              <controlPr defaultSize="0" print="0" autoFill="0" autoPict="0" macro="[0]!Sheet5.ClearResponses">
                <anchor moveWithCells="1" sizeWithCells="1">
                  <from>
                    <xdr:col>15</xdr:col>
                    <xdr:colOff>133350</xdr:colOff>
                    <xdr:row>49</xdr:row>
                    <xdr:rowOff>28575</xdr:rowOff>
                  </from>
                  <to>
                    <xdr:col>17</xdr:col>
                    <xdr:colOff>57150</xdr:colOff>
                    <xdr:row>50</xdr:row>
                    <xdr:rowOff>161925</xdr:rowOff>
                  </to>
                </anchor>
              </controlPr>
            </control>
          </mc:Choice>
        </mc:AlternateContent>
        <mc:AlternateContent xmlns:mc="http://schemas.openxmlformats.org/markup-compatibility/2006">
          <mc:Choice Requires="x14">
            <control shapeId="1028" r:id="rId7" name="Button 4">
              <controlPr defaultSize="0" print="0" autoFill="0" autoPict="0" macro="[0]!Sheet5.ViewScoringMatrix">
                <anchor moveWithCells="1" sizeWithCells="1">
                  <from>
                    <xdr:col>17</xdr:col>
                    <xdr:colOff>161925</xdr:colOff>
                    <xdr:row>49</xdr:row>
                    <xdr:rowOff>38100</xdr:rowOff>
                  </from>
                  <to>
                    <xdr:col>18</xdr:col>
                    <xdr:colOff>552450</xdr:colOff>
                    <xdr:row>50</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theme="8" tint="0.79998168889431442"/>
    <pageSetUpPr fitToPage="1"/>
  </sheetPr>
  <dimension ref="A1:Q37"/>
  <sheetViews>
    <sheetView zoomScale="60" zoomScaleNormal="60" workbookViewId="0">
      <selection activeCell="D2" sqref="D2:I3"/>
    </sheetView>
  </sheetViews>
  <sheetFormatPr defaultColWidth="9.140625" defaultRowHeight="15" x14ac:dyDescent="0.25"/>
  <cols>
    <col min="1" max="1" width="9.140625" style="6"/>
    <col min="2" max="2" width="54.7109375" style="1" customWidth="1"/>
    <col min="3" max="3" width="77.85546875" style="1" bestFit="1" customWidth="1"/>
    <col min="4" max="4" width="13.7109375" style="3" customWidth="1"/>
    <col min="5" max="5" width="18.85546875" style="1" customWidth="1"/>
    <col min="6" max="8" width="12.42578125" style="1" customWidth="1"/>
    <col min="9" max="9" width="9.140625" style="1"/>
    <col min="10" max="10" width="12.28515625" style="1" customWidth="1"/>
    <col min="11" max="11" width="13" style="1" customWidth="1"/>
    <col min="12" max="12" width="15.7109375" style="1" customWidth="1"/>
    <col min="13" max="16384" width="9.140625" style="1"/>
  </cols>
  <sheetData>
    <row r="1" spans="1:17" ht="26.25" x14ac:dyDescent="0.4">
      <c r="A1" s="17"/>
      <c r="B1" s="2"/>
      <c r="C1" s="18"/>
      <c r="D1" s="19"/>
      <c r="E1" s="2"/>
      <c r="F1" s="2"/>
      <c r="G1" s="2"/>
      <c r="H1" s="2"/>
      <c r="I1" s="2"/>
      <c r="J1" s="2"/>
      <c r="K1" s="2"/>
      <c r="L1" s="2"/>
      <c r="M1" s="2"/>
      <c r="N1" s="2"/>
      <c r="O1" s="2"/>
      <c r="P1" s="2"/>
      <c r="Q1" s="2"/>
    </row>
    <row r="2" spans="1:17" s="4" customFormat="1" ht="141" customHeight="1" x14ac:dyDescent="0.35">
      <c r="A2" s="20"/>
      <c r="B2" s="27" t="s">
        <v>89</v>
      </c>
      <c r="C2" s="21"/>
      <c r="D2" s="140" t="s">
        <v>293</v>
      </c>
      <c r="E2" s="140"/>
      <c r="F2" s="140"/>
      <c r="G2" s="140"/>
      <c r="H2" s="140"/>
      <c r="I2" s="140"/>
      <c r="J2" s="21"/>
      <c r="K2" s="21"/>
      <c r="L2" s="21"/>
      <c r="M2" s="22"/>
      <c r="N2" s="22"/>
      <c r="O2" s="22"/>
      <c r="P2" s="22"/>
      <c r="Q2" s="22"/>
    </row>
    <row r="3" spans="1:17" x14ac:dyDescent="0.25">
      <c r="A3" s="17"/>
      <c r="B3" s="2"/>
      <c r="C3" s="2"/>
      <c r="D3" s="140"/>
      <c r="E3" s="140"/>
      <c r="F3" s="140"/>
      <c r="G3" s="140"/>
      <c r="H3" s="140"/>
      <c r="I3" s="140"/>
      <c r="J3" s="2"/>
      <c r="K3" s="2"/>
      <c r="L3" s="2"/>
      <c r="M3" s="2"/>
      <c r="N3" s="2"/>
      <c r="O3" s="2"/>
      <c r="P3" s="2"/>
      <c r="Q3" s="2"/>
    </row>
    <row r="4" spans="1:17" s="3" customFormat="1" ht="162.75" customHeight="1" x14ac:dyDescent="0.25">
      <c r="A4" s="23"/>
      <c r="B4" s="28" t="s">
        <v>261</v>
      </c>
      <c r="C4" s="28" t="s">
        <v>31</v>
      </c>
      <c r="D4" s="29" t="s">
        <v>72</v>
      </c>
      <c r="E4" s="30" t="s">
        <v>73</v>
      </c>
      <c r="F4" s="30" t="s">
        <v>74</v>
      </c>
      <c r="G4" s="30" t="s">
        <v>75</v>
      </c>
      <c r="H4" s="30" t="s">
        <v>76</v>
      </c>
      <c r="I4" s="30" t="s">
        <v>77</v>
      </c>
      <c r="J4" s="30" t="s">
        <v>78</v>
      </c>
      <c r="K4" s="30" t="s">
        <v>79</v>
      </c>
      <c r="L4" s="30" t="s">
        <v>80</v>
      </c>
      <c r="M4" s="19"/>
      <c r="N4" s="19"/>
      <c r="O4" s="19"/>
      <c r="P4" s="19"/>
      <c r="Q4" s="19"/>
    </row>
    <row r="5" spans="1:17" s="5" customFormat="1" ht="30.75" hidden="1" customHeight="1" x14ac:dyDescent="0.25">
      <c r="A5" s="24"/>
      <c r="B5" s="25"/>
      <c r="C5" s="25"/>
      <c r="D5" s="189" t="s">
        <v>44</v>
      </c>
      <c r="E5" s="189"/>
      <c r="F5" s="189"/>
      <c r="G5" s="189"/>
      <c r="H5" s="189"/>
      <c r="I5" s="190" t="s">
        <v>45</v>
      </c>
      <c r="J5" s="190"/>
      <c r="K5" s="190"/>
      <c r="L5" s="190"/>
      <c r="M5" s="26"/>
      <c r="N5" s="26"/>
      <c r="O5" s="26"/>
      <c r="P5" s="26"/>
      <c r="Q5" s="26"/>
    </row>
    <row r="6" spans="1:17" ht="32.25" customHeight="1" x14ac:dyDescent="0.25">
      <c r="A6" s="17">
        <f>IF('Application Wizard'!N54="Yes",1,0)</f>
        <v>0</v>
      </c>
      <c r="B6" s="35" t="s">
        <v>94</v>
      </c>
      <c r="C6" s="110" t="s">
        <v>93</v>
      </c>
      <c r="D6" s="109">
        <v>0</v>
      </c>
      <c r="E6">
        <v>1</v>
      </c>
      <c r="F6">
        <v>0</v>
      </c>
      <c r="G6">
        <v>1</v>
      </c>
      <c r="H6">
        <v>0</v>
      </c>
      <c r="I6">
        <v>0</v>
      </c>
      <c r="J6">
        <v>0</v>
      </c>
      <c r="K6">
        <v>0</v>
      </c>
      <c r="L6">
        <v>0</v>
      </c>
      <c r="M6" s="2"/>
      <c r="N6" s="2"/>
      <c r="O6" s="2"/>
      <c r="P6" s="2"/>
      <c r="Q6" s="2"/>
    </row>
    <row r="7" spans="1:17" x14ac:dyDescent="0.25">
      <c r="A7" s="17">
        <f>IF('Application Wizard'!N55="Yes",1,0)</f>
        <v>0</v>
      </c>
      <c r="B7" s="35" t="s">
        <v>94</v>
      </c>
      <c r="C7" s="31" t="s">
        <v>92</v>
      </c>
      <c r="D7">
        <v>1</v>
      </c>
      <c r="E7">
        <v>1</v>
      </c>
      <c r="F7">
        <v>0</v>
      </c>
      <c r="G7">
        <v>1</v>
      </c>
      <c r="H7">
        <v>1</v>
      </c>
      <c r="I7">
        <v>0</v>
      </c>
      <c r="J7">
        <v>0</v>
      </c>
      <c r="K7">
        <v>0</v>
      </c>
      <c r="L7">
        <v>0</v>
      </c>
      <c r="M7" s="2"/>
      <c r="N7" s="2"/>
      <c r="O7" s="2"/>
      <c r="P7" s="2"/>
      <c r="Q7" s="2"/>
    </row>
    <row r="8" spans="1:17" x14ac:dyDescent="0.25">
      <c r="A8" s="17">
        <f>IF('Application Wizard'!N56="Yes",1,0)</f>
        <v>0</v>
      </c>
      <c r="B8" s="35" t="s">
        <v>94</v>
      </c>
      <c r="C8" s="31" t="s">
        <v>101</v>
      </c>
      <c r="D8">
        <v>1</v>
      </c>
      <c r="E8">
        <v>1</v>
      </c>
      <c r="F8">
        <v>0</v>
      </c>
      <c r="G8">
        <v>0</v>
      </c>
      <c r="H8">
        <v>1</v>
      </c>
      <c r="I8">
        <v>0</v>
      </c>
      <c r="J8">
        <v>0</v>
      </c>
      <c r="K8">
        <v>0</v>
      </c>
      <c r="L8">
        <v>0</v>
      </c>
      <c r="M8" s="2"/>
      <c r="N8" s="2"/>
      <c r="O8" s="2"/>
      <c r="P8" s="2"/>
      <c r="Q8" s="2"/>
    </row>
    <row r="9" spans="1:17" x14ac:dyDescent="0.25">
      <c r="A9" s="17">
        <f>IF('Application Wizard'!N57="Yes",1,0)</f>
        <v>0</v>
      </c>
      <c r="B9" s="35" t="s">
        <v>98</v>
      </c>
      <c r="C9" s="31" t="s">
        <v>267</v>
      </c>
      <c r="D9">
        <v>1</v>
      </c>
      <c r="E9">
        <v>1</v>
      </c>
      <c r="F9">
        <v>0</v>
      </c>
      <c r="G9">
        <v>0</v>
      </c>
      <c r="H9">
        <v>1</v>
      </c>
      <c r="I9">
        <v>0</v>
      </c>
      <c r="J9">
        <v>0</v>
      </c>
      <c r="K9">
        <v>1</v>
      </c>
      <c r="L9">
        <v>0</v>
      </c>
      <c r="M9" s="2"/>
      <c r="N9" s="2"/>
      <c r="O9" s="2"/>
      <c r="P9" s="2"/>
      <c r="Q9" s="2"/>
    </row>
    <row r="10" spans="1:17" ht="30" x14ac:dyDescent="0.25">
      <c r="A10" s="17">
        <f>IF('Application Wizard'!N58="Yes",1,0)</f>
        <v>0</v>
      </c>
      <c r="B10" s="35" t="s">
        <v>94</v>
      </c>
      <c r="C10" s="31" t="s">
        <v>102</v>
      </c>
      <c r="D10">
        <v>1</v>
      </c>
      <c r="E10">
        <v>1</v>
      </c>
      <c r="F10">
        <v>0</v>
      </c>
      <c r="G10">
        <v>0</v>
      </c>
      <c r="H10">
        <v>1</v>
      </c>
      <c r="I10">
        <v>0</v>
      </c>
      <c r="J10">
        <v>0</v>
      </c>
      <c r="K10">
        <v>0</v>
      </c>
      <c r="L10">
        <v>0</v>
      </c>
      <c r="M10" s="2"/>
      <c r="N10" s="2"/>
      <c r="O10" s="2"/>
      <c r="P10" s="2"/>
      <c r="Q10" s="2"/>
    </row>
    <row r="11" spans="1:17" ht="30" x14ac:dyDescent="0.25">
      <c r="A11" s="17">
        <f>IF('Application Wizard'!N59="Yes",1,0)</f>
        <v>0</v>
      </c>
      <c r="B11" s="31" t="s">
        <v>94</v>
      </c>
      <c r="C11" s="31" t="s">
        <v>103</v>
      </c>
      <c r="D11">
        <v>1</v>
      </c>
      <c r="E11">
        <v>1</v>
      </c>
      <c r="F11">
        <v>1</v>
      </c>
      <c r="G11">
        <v>0</v>
      </c>
      <c r="H11">
        <v>1</v>
      </c>
      <c r="I11">
        <v>0</v>
      </c>
      <c r="J11">
        <v>0</v>
      </c>
      <c r="K11">
        <v>0</v>
      </c>
      <c r="L11">
        <v>1</v>
      </c>
      <c r="M11" s="2"/>
      <c r="N11" s="2"/>
      <c r="O11" s="2"/>
      <c r="P11" s="2"/>
      <c r="Q11" s="2"/>
    </row>
    <row r="12" spans="1:17" x14ac:dyDescent="0.25">
      <c r="A12" s="17">
        <f>IF('Application Wizard'!N60="Yes",1,0)</f>
        <v>0</v>
      </c>
      <c r="B12" s="31" t="s">
        <v>94</v>
      </c>
      <c r="C12" s="31" t="s">
        <v>34</v>
      </c>
      <c r="D12">
        <v>0</v>
      </c>
      <c r="E12">
        <v>1</v>
      </c>
      <c r="F12">
        <v>0</v>
      </c>
      <c r="G12">
        <v>0</v>
      </c>
      <c r="H12">
        <v>1</v>
      </c>
      <c r="I12">
        <v>1</v>
      </c>
      <c r="J12">
        <v>0</v>
      </c>
      <c r="K12">
        <v>0</v>
      </c>
      <c r="L12">
        <v>0</v>
      </c>
      <c r="M12" s="2"/>
      <c r="N12" s="2"/>
      <c r="O12" s="2"/>
      <c r="P12" s="2"/>
      <c r="Q12" s="2"/>
    </row>
    <row r="13" spans="1:17" x14ac:dyDescent="0.25">
      <c r="A13" s="17">
        <f>IF('Application Wizard'!N61="Yes",1,0)</f>
        <v>0</v>
      </c>
      <c r="B13" s="31" t="s">
        <v>94</v>
      </c>
      <c r="C13" s="31" t="s">
        <v>68</v>
      </c>
      <c r="D13">
        <v>0</v>
      </c>
      <c r="E13">
        <v>0</v>
      </c>
      <c r="F13">
        <v>0</v>
      </c>
      <c r="G13">
        <v>0</v>
      </c>
      <c r="H13">
        <v>0</v>
      </c>
      <c r="I13">
        <v>0</v>
      </c>
      <c r="J13">
        <v>0</v>
      </c>
      <c r="K13">
        <v>1</v>
      </c>
      <c r="L13">
        <v>0</v>
      </c>
      <c r="M13" s="2"/>
      <c r="N13" s="2"/>
      <c r="O13" s="2"/>
      <c r="P13" s="2"/>
      <c r="Q13" s="2"/>
    </row>
    <row r="14" spans="1:17" x14ac:dyDescent="0.25">
      <c r="A14" s="17">
        <f>IF('Application Wizard'!N62="Yes",1,0)</f>
        <v>0</v>
      </c>
      <c r="B14" s="35" t="s">
        <v>94</v>
      </c>
      <c r="C14" s="31" t="s">
        <v>100</v>
      </c>
      <c r="D14">
        <v>1</v>
      </c>
      <c r="E14">
        <v>1</v>
      </c>
      <c r="F14">
        <v>1</v>
      </c>
      <c r="G14">
        <v>0</v>
      </c>
      <c r="H14">
        <v>0</v>
      </c>
      <c r="I14">
        <v>0</v>
      </c>
      <c r="J14">
        <v>0</v>
      </c>
      <c r="K14">
        <v>0</v>
      </c>
      <c r="L14">
        <v>0</v>
      </c>
      <c r="M14" s="2"/>
      <c r="N14" s="2"/>
      <c r="O14" s="2"/>
      <c r="P14" s="2"/>
      <c r="Q14" s="2"/>
    </row>
    <row r="15" spans="1:17" x14ac:dyDescent="0.25">
      <c r="A15" s="17">
        <f>IF('Application Wizard'!N63="Yes",1,0)</f>
        <v>0</v>
      </c>
      <c r="B15" s="35" t="s">
        <v>98</v>
      </c>
      <c r="C15" s="31" t="s">
        <v>104</v>
      </c>
      <c r="D15">
        <v>1</v>
      </c>
      <c r="E15">
        <v>1</v>
      </c>
      <c r="F15">
        <v>1</v>
      </c>
      <c r="G15">
        <v>0</v>
      </c>
      <c r="H15">
        <v>1</v>
      </c>
      <c r="I15">
        <v>0</v>
      </c>
      <c r="J15">
        <v>0</v>
      </c>
      <c r="K15">
        <v>0</v>
      </c>
      <c r="L15">
        <v>0</v>
      </c>
      <c r="M15" s="2"/>
      <c r="N15" s="2"/>
      <c r="O15" s="2"/>
      <c r="P15" s="2"/>
      <c r="Q15" s="2"/>
    </row>
    <row r="16" spans="1:17" x14ac:dyDescent="0.25">
      <c r="A16" s="17">
        <f>IF('Application Wizard'!N64="Yes",1,0)</f>
        <v>0</v>
      </c>
      <c r="B16" s="35" t="s">
        <v>98</v>
      </c>
      <c r="C16" s="31" t="s">
        <v>67</v>
      </c>
      <c r="D16">
        <v>0</v>
      </c>
      <c r="E16">
        <v>0</v>
      </c>
      <c r="F16">
        <v>1</v>
      </c>
      <c r="G16">
        <v>0</v>
      </c>
      <c r="H16">
        <v>0</v>
      </c>
      <c r="I16">
        <v>0</v>
      </c>
      <c r="J16">
        <v>0</v>
      </c>
      <c r="K16">
        <v>0</v>
      </c>
      <c r="L16">
        <v>0</v>
      </c>
      <c r="M16" s="2"/>
      <c r="N16" s="2"/>
      <c r="O16" s="2"/>
      <c r="P16" s="2"/>
      <c r="Q16" s="2"/>
    </row>
    <row r="17" spans="1:17" x14ac:dyDescent="0.25">
      <c r="A17" s="17">
        <f>IF('Application Wizard'!N65="Yes",1,0)</f>
        <v>0</v>
      </c>
      <c r="B17" s="31" t="s">
        <v>98</v>
      </c>
      <c r="C17" s="31" t="s">
        <v>105</v>
      </c>
      <c r="D17">
        <v>1</v>
      </c>
      <c r="E17">
        <v>1</v>
      </c>
      <c r="F17">
        <v>1</v>
      </c>
      <c r="G17">
        <v>0</v>
      </c>
      <c r="H17">
        <v>1</v>
      </c>
      <c r="I17">
        <v>1</v>
      </c>
      <c r="J17">
        <v>0</v>
      </c>
      <c r="K17">
        <v>0</v>
      </c>
      <c r="L17">
        <v>1</v>
      </c>
      <c r="M17" s="2"/>
      <c r="N17" s="2"/>
      <c r="O17" s="2"/>
      <c r="P17" s="2"/>
      <c r="Q17" s="2"/>
    </row>
    <row r="18" spans="1:17" x14ac:dyDescent="0.25">
      <c r="A18" s="17">
        <f>IF('Application Wizard'!N66="Yes",1,0)</f>
        <v>0</v>
      </c>
      <c r="B18" s="31" t="s">
        <v>98</v>
      </c>
      <c r="C18" s="31" t="s">
        <v>99</v>
      </c>
      <c r="D18">
        <v>1</v>
      </c>
      <c r="E18">
        <v>1</v>
      </c>
      <c r="F18">
        <v>1</v>
      </c>
      <c r="G18">
        <v>0</v>
      </c>
      <c r="H18">
        <v>1</v>
      </c>
      <c r="I18">
        <v>0</v>
      </c>
      <c r="J18">
        <v>0</v>
      </c>
      <c r="K18">
        <v>0</v>
      </c>
      <c r="L18">
        <v>0</v>
      </c>
      <c r="M18" s="2"/>
      <c r="N18" s="2"/>
      <c r="O18" s="2"/>
      <c r="P18" s="2"/>
      <c r="Q18" s="2"/>
    </row>
    <row r="19" spans="1:17" x14ac:dyDescent="0.25">
      <c r="A19" s="17">
        <f>IF('Application Wizard'!N67="Yes",1,0)</f>
        <v>0</v>
      </c>
      <c r="B19" s="35" t="s">
        <v>98</v>
      </c>
      <c r="C19" s="31" t="s">
        <v>70</v>
      </c>
      <c r="D19">
        <v>0</v>
      </c>
      <c r="E19">
        <v>0</v>
      </c>
      <c r="F19">
        <v>0</v>
      </c>
      <c r="G19">
        <v>0</v>
      </c>
      <c r="H19">
        <v>0</v>
      </c>
      <c r="I19">
        <v>0</v>
      </c>
      <c r="J19">
        <v>0</v>
      </c>
      <c r="K19">
        <v>1</v>
      </c>
      <c r="L19">
        <v>0</v>
      </c>
      <c r="M19" s="2"/>
      <c r="N19" s="2"/>
      <c r="O19" s="2"/>
      <c r="P19" s="2"/>
      <c r="Q19" s="2"/>
    </row>
    <row r="20" spans="1:17" ht="30" customHeight="1" x14ac:dyDescent="0.25">
      <c r="A20" s="17">
        <f>IF('Application Wizard'!N68="Yes",1,0)</f>
        <v>0</v>
      </c>
      <c r="B20" s="31" t="s">
        <v>95</v>
      </c>
      <c r="C20" s="31" t="s">
        <v>106</v>
      </c>
      <c r="D20">
        <v>0</v>
      </c>
      <c r="E20">
        <v>0</v>
      </c>
      <c r="F20">
        <v>0</v>
      </c>
      <c r="G20">
        <v>0</v>
      </c>
      <c r="H20">
        <v>0</v>
      </c>
      <c r="I20">
        <v>0</v>
      </c>
      <c r="J20">
        <v>1</v>
      </c>
      <c r="K20">
        <v>0</v>
      </c>
      <c r="L20">
        <v>0</v>
      </c>
      <c r="M20" s="2"/>
      <c r="N20" s="2"/>
      <c r="O20" s="2"/>
      <c r="P20" s="2"/>
      <c r="Q20" s="2"/>
    </row>
    <row r="21" spans="1:17" ht="30" x14ac:dyDescent="0.25">
      <c r="A21" s="17">
        <f>IF('Application Wizard'!N69="Yes",1,0)</f>
        <v>0</v>
      </c>
      <c r="B21" s="35" t="s">
        <v>95</v>
      </c>
      <c r="C21" s="31" t="s">
        <v>107</v>
      </c>
      <c r="D21">
        <v>0</v>
      </c>
      <c r="E21">
        <v>0</v>
      </c>
      <c r="F21">
        <v>0</v>
      </c>
      <c r="G21">
        <v>0</v>
      </c>
      <c r="H21">
        <v>0</v>
      </c>
      <c r="I21">
        <v>0</v>
      </c>
      <c r="J21">
        <v>1</v>
      </c>
      <c r="K21">
        <v>0</v>
      </c>
      <c r="L21">
        <v>0</v>
      </c>
      <c r="M21" s="2"/>
      <c r="N21" s="2"/>
      <c r="O21" s="2"/>
      <c r="P21" s="2"/>
      <c r="Q21" s="2"/>
    </row>
    <row r="22" spans="1:17" ht="30" x14ac:dyDescent="0.25">
      <c r="A22" s="17">
        <f>IF('Application Wizard'!N70="Yes",1,0)</f>
        <v>0</v>
      </c>
      <c r="B22" s="35" t="s">
        <v>95</v>
      </c>
      <c r="C22" s="31" t="s">
        <v>108</v>
      </c>
      <c r="D22">
        <v>0</v>
      </c>
      <c r="E22">
        <v>0</v>
      </c>
      <c r="F22">
        <v>0</v>
      </c>
      <c r="G22">
        <v>0</v>
      </c>
      <c r="H22">
        <v>0</v>
      </c>
      <c r="I22">
        <v>0</v>
      </c>
      <c r="J22">
        <v>1</v>
      </c>
      <c r="K22">
        <v>0</v>
      </c>
      <c r="L22">
        <v>0</v>
      </c>
      <c r="M22" s="2"/>
      <c r="N22" s="2"/>
      <c r="O22" s="2"/>
      <c r="P22" s="2"/>
      <c r="Q22" s="2"/>
    </row>
    <row r="23" spans="1:17" x14ac:dyDescent="0.25">
      <c r="A23" s="17">
        <f>IF('Application Wizard'!N71="Yes",1,0)</f>
        <v>0</v>
      </c>
      <c r="B23" s="35" t="s">
        <v>95</v>
      </c>
      <c r="C23" s="31" t="s">
        <v>109</v>
      </c>
      <c r="D23">
        <v>0</v>
      </c>
      <c r="E23">
        <v>0</v>
      </c>
      <c r="F23">
        <v>0</v>
      </c>
      <c r="G23">
        <v>0</v>
      </c>
      <c r="H23">
        <v>0</v>
      </c>
      <c r="I23">
        <v>0</v>
      </c>
      <c r="J23">
        <v>0</v>
      </c>
      <c r="K23">
        <v>0</v>
      </c>
      <c r="L23">
        <v>1</v>
      </c>
      <c r="M23" s="2"/>
      <c r="N23" s="2"/>
      <c r="O23" s="2"/>
      <c r="P23" s="2"/>
      <c r="Q23" s="2"/>
    </row>
    <row r="24" spans="1:17" x14ac:dyDescent="0.25">
      <c r="A24" s="17">
        <f>IF('Application Wizard'!N72="Yes",1,0)</f>
        <v>0</v>
      </c>
      <c r="B24" s="35" t="s">
        <v>96</v>
      </c>
      <c r="C24" s="31" t="s">
        <v>69</v>
      </c>
      <c r="D24">
        <v>0</v>
      </c>
      <c r="E24">
        <v>0</v>
      </c>
      <c r="F24">
        <v>0</v>
      </c>
      <c r="G24">
        <v>0</v>
      </c>
      <c r="H24">
        <v>0</v>
      </c>
      <c r="I24">
        <v>1</v>
      </c>
      <c r="J24">
        <v>0</v>
      </c>
      <c r="K24">
        <v>0</v>
      </c>
      <c r="L24">
        <v>0</v>
      </c>
      <c r="M24" s="2"/>
      <c r="N24" s="2"/>
      <c r="O24" s="2"/>
      <c r="P24" s="2"/>
      <c r="Q24" s="2"/>
    </row>
    <row r="25" spans="1:17" x14ac:dyDescent="0.25">
      <c r="A25" s="17">
        <f>IF('Application Wizard'!N73="Yes",1,0)</f>
        <v>0</v>
      </c>
      <c r="B25" s="35" t="s">
        <v>96</v>
      </c>
      <c r="C25" s="31" t="s">
        <v>35</v>
      </c>
      <c r="D25">
        <v>0</v>
      </c>
      <c r="E25">
        <v>0</v>
      </c>
      <c r="F25">
        <v>0</v>
      </c>
      <c r="G25">
        <v>0</v>
      </c>
      <c r="H25">
        <v>0</v>
      </c>
      <c r="I25">
        <v>0</v>
      </c>
      <c r="J25">
        <v>0</v>
      </c>
      <c r="K25">
        <v>0</v>
      </c>
      <c r="L25">
        <v>1</v>
      </c>
      <c r="M25" s="2"/>
      <c r="N25" s="2"/>
      <c r="O25" s="2"/>
      <c r="P25" s="2"/>
      <c r="Q25" s="2"/>
    </row>
    <row r="26" spans="1:17" x14ac:dyDescent="0.25">
      <c r="A26" s="17">
        <f>IF('Application Wizard'!N74="Yes",1,0)</f>
        <v>0</v>
      </c>
      <c r="B26" s="35" t="s">
        <v>96</v>
      </c>
      <c r="C26" s="31" t="s">
        <v>110</v>
      </c>
      <c r="D26">
        <v>0</v>
      </c>
      <c r="E26">
        <v>0</v>
      </c>
      <c r="F26">
        <v>0</v>
      </c>
      <c r="G26">
        <v>0</v>
      </c>
      <c r="H26">
        <v>0</v>
      </c>
      <c r="I26">
        <v>0</v>
      </c>
      <c r="J26">
        <v>0</v>
      </c>
      <c r="K26">
        <v>0</v>
      </c>
      <c r="L26">
        <v>1</v>
      </c>
      <c r="M26" s="2"/>
      <c r="N26" s="2"/>
      <c r="O26" s="2"/>
      <c r="P26" s="2"/>
      <c r="Q26" s="2"/>
    </row>
    <row r="27" spans="1:17" x14ac:dyDescent="0.25">
      <c r="A27" s="17">
        <f>IF('Application Wizard'!N75="Yes",1,0)</f>
        <v>0</v>
      </c>
      <c r="B27" s="35" t="s">
        <v>96</v>
      </c>
      <c r="C27" s="31" t="s">
        <v>71</v>
      </c>
      <c r="D27">
        <v>1</v>
      </c>
      <c r="E27">
        <v>1</v>
      </c>
      <c r="F27">
        <v>1</v>
      </c>
      <c r="G27">
        <v>0</v>
      </c>
      <c r="H27">
        <v>0</v>
      </c>
      <c r="I27">
        <v>0</v>
      </c>
      <c r="J27">
        <v>0</v>
      </c>
      <c r="K27">
        <v>0</v>
      </c>
      <c r="L27">
        <v>1</v>
      </c>
      <c r="M27" s="2"/>
      <c r="N27" s="2"/>
      <c r="O27" s="2"/>
      <c r="P27" s="2"/>
      <c r="Q27" s="2"/>
    </row>
    <row r="28" spans="1:17" x14ac:dyDescent="0.25">
      <c r="A28" s="17">
        <f>IF('Application Wizard'!N76="Yes",1,0)</f>
        <v>0</v>
      </c>
      <c r="B28" s="35" t="s">
        <v>96</v>
      </c>
      <c r="C28" s="31" t="s">
        <v>64</v>
      </c>
      <c r="D28">
        <v>0</v>
      </c>
      <c r="E28">
        <v>1</v>
      </c>
      <c r="F28">
        <v>0</v>
      </c>
      <c r="G28">
        <v>0</v>
      </c>
      <c r="H28">
        <v>0</v>
      </c>
      <c r="I28">
        <v>0</v>
      </c>
      <c r="J28">
        <v>0</v>
      </c>
      <c r="K28">
        <v>0</v>
      </c>
      <c r="L28">
        <v>1</v>
      </c>
      <c r="M28" s="2"/>
      <c r="N28" s="2"/>
      <c r="O28" s="2"/>
      <c r="P28" s="2"/>
      <c r="Q28" s="2"/>
    </row>
    <row r="29" spans="1:17" x14ac:dyDescent="0.25">
      <c r="A29" s="17">
        <f>IF('Application Wizard'!N77="Yes",1,0)</f>
        <v>0</v>
      </c>
      <c r="B29" s="35" t="s">
        <v>97</v>
      </c>
      <c r="C29" s="31" t="s">
        <v>66</v>
      </c>
      <c r="D29">
        <v>0</v>
      </c>
      <c r="E29">
        <v>1</v>
      </c>
      <c r="F29">
        <v>0</v>
      </c>
      <c r="G29">
        <v>0</v>
      </c>
      <c r="H29">
        <v>0</v>
      </c>
      <c r="I29">
        <v>0</v>
      </c>
      <c r="J29">
        <v>0</v>
      </c>
      <c r="K29">
        <v>0</v>
      </c>
      <c r="L29">
        <v>1</v>
      </c>
      <c r="M29" s="2"/>
      <c r="N29" s="2"/>
      <c r="O29" s="2"/>
      <c r="P29" s="2"/>
      <c r="Q29" s="2"/>
    </row>
    <row r="30" spans="1:17" x14ac:dyDescent="0.25">
      <c r="A30" s="17">
        <f>IF('Application Wizard'!N78="Yes",1,0)</f>
        <v>0</v>
      </c>
      <c r="B30" s="31"/>
      <c r="C30" s="31"/>
      <c r="D30" s="36"/>
      <c r="E30" s="36"/>
      <c r="F30" s="36"/>
      <c r="G30" s="36"/>
      <c r="H30" s="36"/>
      <c r="I30" s="36"/>
      <c r="J30" s="36"/>
      <c r="K30" s="36"/>
      <c r="L30" s="36"/>
      <c r="M30" s="2"/>
      <c r="N30" s="2"/>
      <c r="O30" s="2"/>
      <c r="P30" s="2"/>
      <c r="Q30" s="2"/>
    </row>
    <row r="31" spans="1:17" x14ac:dyDescent="0.25">
      <c r="A31" s="17">
        <f>IF('Application Wizard'!N79="Yes",1,0)</f>
        <v>0</v>
      </c>
      <c r="B31" s="35"/>
      <c r="C31" s="31"/>
      <c r="D31" s="36"/>
      <c r="E31" s="36"/>
      <c r="F31" s="36"/>
      <c r="G31" s="36"/>
      <c r="H31" s="36"/>
      <c r="I31" s="36"/>
      <c r="J31" s="36"/>
      <c r="K31" s="36"/>
      <c r="L31" s="36"/>
      <c r="M31" s="2"/>
      <c r="N31" s="2"/>
      <c r="O31" s="2"/>
      <c r="P31" s="2"/>
      <c r="Q31" s="2"/>
    </row>
    <row r="32" spans="1:17" x14ac:dyDescent="0.25">
      <c r="A32" s="17"/>
      <c r="B32" s="2"/>
      <c r="C32" s="2"/>
      <c r="D32" s="19"/>
      <c r="E32" s="2"/>
      <c r="F32" s="2"/>
      <c r="G32" s="2"/>
      <c r="H32" s="2"/>
      <c r="I32" s="2"/>
      <c r="J32" s="2"/>
      <c r="K32" s="2"/>
      <c r="L32" s="2"/>
      <c r="M32" s="2"/>
      <c r="N32" s="2"/>
      <c r="O32" s="2"/>
      <c r="P32" s="2"/>
      <c r="Q32" s="2"/>
    </row>
    <row r="33" spans="1:17" x14ac:dyDescent="0.25">
      <c r="A33" s="17"/>
      <c r="B33" s="2"/>
      <c r="C33" s="2"/>
      <c r="D33" s="19"/>
      <c r="E33" s="2"/>
      <c r="F33" s="2"/>
      <c r="G33" s="2"/>
      <c r="H33" s="2"/>
      <c r="I33" s="2"/>
      <c r="J33" s="2"/>
      <c r="K33" s="2"/>
      <c r="L33" s="2"/>
      <c r="M33" s="2"/>
      <c r="N33" s="2"/>
      <c r="O33" s="2"/>
      <c r="P33" s="2"/>
      <c r="Q33" s="2"/>
    </row>
    <row r="34" spans="1:17" x14ac:dyDescent="0.25">
      <c r="A34" s="17"/>
      <c r="B34" s="2"/>
      <c r="C34" s="2"/>
      <c r="D34" s="19"/>
      <c r="E34" s="2"/>
      <c r="F34" s="2"/>
      <c r="G34" s="2"/>
      <c r="H34" s="2"/>
      <c r="I34" s="2"/>
      <c r="J34" s="2"/>
      <c r="K34" s="2"/>
      <c r="L34" s="2"/>
      <c r="M34" s="2"/>
      <c r="N34" s="2"/>
      <c r="O34" s="2"/>
      <c r="P34" s="2"/>
      <c r="Q34" s="2"/>
    </row>
    <row r="35" spans="1:17" ht="18" hidden="1" x14ac:dyDescent="0.25">
      <c r="A35" s="17"/>
      <c r="B35" s="2"/>
      <c r="C35" s="2"/>
      <c r="D35" s="19">
        <f>RANK(D36,$D$36:$L$36)</f>
        <v>1</v>
      </c>
      <c r="E35" s="19">
        <f t="shared" ref="E35:L35" si="0">RANK(E36,$D$36:$L$36)</f>
        <v>1</v>
      </c>
      <c r="F35" s="19">
        <f t="shared" si="0"/>
        <v>1</v>
      </c>
      <c r="G35" s="19">
        <f t="shared" si="0"/>
        <v>1</v>
      </c>
      <c r="H35" s="19">
        <f t="shared" si="0"/>
        <v>1</v>
      </c>
      <c r="I35" s="19">
        <f t="shared" si="0"/>
        <v>1</v>
      </c>
      <c r="J35" s="19">
        <f t="shared" si="0"/>
        <v>1</v>
      </c>
      <c r="K35" s="19">
        <f t="shared" si="0"/>
        <v>1</v>
      </c>
      <c r="L35" s="19">
        <f t="shared" si="0"/>
        <v>1</v>
      </c>
      <c r="M35" s="2"/>
      <c r="N35" s="2"/>
      <c r="O35" s="2"/>
      <c r="P35" s="2"/>
      <c r="Q35" s="2"/>
    </row>
    <row r="36" spans="1:17" ht="18" hidden="1" x14ac:dyDescent="0.25">
      <c r="A36" s="17"/>
      <c r="B36" s="2"/>
      <c r="C36" s="2"/>
      <c r="D36" s="19">
        <f t="shared" ref="D36:L36" si="1">SUMPRODUCT($A$6:$A$31,D6:D31)</f>
        <v>0</v>
      </c>
      <c r="E36" s="19">
        <f t="shared" si="1"/>
        <v>0</v>
      </c>
      <c r="F36" s="19">
        <f t="shared" si="1"/>
        <v>0</v>
      </c>
      <c r="G36" s="19">
        <f t="shared" si="1"/>
        <v>0</v>
      </c>
      <c r="H36" s="19">
        <f t="shared" si="1"/>
        <v>0</v>
      </c>
      <c r="I36" s="19">
        <f t="shared" si="1"/>
        <v>0</v>
      </c>
      <c r="J36" s="19">
        <f t="shared" si="1"/>
        <v>0</v>
      </c>
      <c r="K36" s="19">
        <f t="shared" si="1"/>
        <v>0</v>
      </c>
      <c r="L36" s="19">
        <f t="shared" si="1"/>
        <v>0</v>
      </c>
      <c r="M36" s="2"/>
      <c r="N36" s="2"/>
      <c r="O36" s="2"/>
      <c r="P36" s="2"/>
      <c r="Q36" s="2"/>
    </row>
    <row r="37" spans="1:17" x14ac:dyDescent="0.25">
      <c r="A37" s="17"/>
      <c r="B37" s="2"/>
      <c r="C37" s="2"/>
      <c r="D37" s="19"/>
      <c r="E37" s="2"/>
      <c r="F37" s="2"/>
      <c r="G37" s="2"/>
      <c r="H37" s="2"/>
      <c r="I37" s="2"/>
      <c r="J37" s="2"/>
      <c r="K37" s="2"/>
      <c r="L37" s="2"/>
      <c r="M37" s="2"/>
      <c r="N37" s="2"/>
      <c r="O37" s="2"/>
      <c r="P37" s="2"/>
      <c r="Q37" s="2"/>
    </row>
  </sheetData>
  <sortState xmlns:xlrd2="http://schemas.microsoft.com/office/spreadsheetml/2017/richdata2" ref="B6:L34">
    <sortCondition ref="B6"/>
  </sortState>
  <mergeCells count="3">
    <mergeCell ref="D5:H5"/>
    <mergeCell ref="I5:L5"/>
    <mergeCell ref="D2:I3"/>
  </mergeCells>
  <conditionalFormatting sqref="D6:L31">
    <cfRule type="cellIs" dxfId="32" priority="1" operator="equal">
      <formula>1</formula>
    </cfRule>
    <cfRule type="cellIs" dxfId="31" priority="2" operator="equal">
      <formula>0</formula>
    </cfRule>
  </conditionalFormatting>
  <pageMargins left="0.7" right="0.7" top="0.75" bottom="0.75" header="0.3" footer="0.3"/>
  <pageSetup scale="20" fitToWidth="2" orientation="landscape" horizontalDpi="4294967295" verticalDpi="4294967295"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A9B09-7EF4-418A-896E-0ECF4C796BC9}">
  <sheetPr codeName="Sheet6">
    <tabColor theme="9" tint="-0.499984740745262"/>
  </sheetPr>
  <dimension ref="B1:O104"/>
  <sheetViews>
    <sheetView topLeftCell="A69" zoomScaleNormal="100" workbookViewId="0">
      <selection activeCell="L54" sqref="L54:M54"/>
    </sheetView>
  </sheetViews>
  <sheetFormatPr defaultColWidth="9.140625" defaultRowHeight="15" x14ac:dyDescent="0.25"/>
  <cols>
    <col min="1" max="16384" width="9.140625" style="37"/>
  </cols>
  <sheetData>
    <row r="1" spans="2:11" ht="15" customHeight="1" x14ac:dyDescent="0.25"/>
    <row r="2" spans="2:11" ht="15" customHeight="1" x14ac:dyDescent="0.25">
      <c r="B2" s="113"/>
      <c r="C2" s="163" t="s">
        <v>50</v>
      </c>
      <c r="D2" s="163"/>
      <c r="E2" s="163"/>
      <c r="F2" s="163"/>
      <c r="G2" s="163"/>
      <c r="H2" s="163"/>
      <c r="I2" s="163"/>
      <c r="J2" s="163"/>
      <c r="K2" s="164"/>
    </row>
    <row r="3" spans="2:11" ht="18.75" x14ac:dyDescent="0.25">
      <c r="B3" s="39"/>
      <c r="C3" s="192"/>
      <c r="D3" s="192"/>
      <c r="E3" s="192"/>
      <c r="F3" s="192"/>
      <c r="G3" s="192"/>
      <c r="H3" s="192"/>
      <c r="I3" s="192"/>
      <c r="J3" s="192"/>
      <c r="K3" s="166"/>
    </row>
    <row r="4" spans="2:11" ht="15" customHeight="1" x14ac:dyDescent="0.25">
      <c r="B4" s="40"/>
      <c r="C4" s="193" t="s">
        <v>113</v>
      </c>
      <c r="D4" s="193"/>
      <c r="E4" s="193"/>
      <c r="F4" s="193"/>
      <c r="G4" s="193"/>
      <c r="H4" s="193"/>
      <c r="I4" s="193"/>
      <c r="J4" s="193"/>
      <c r="K4" s="168"/>
    </row>
    <row r="5" spans="2:11" ht="15.75" customHeight="1" x14ac:dyDescent="0.25">
      <c r="B5" s="41"/>
      <c r="C5" s="193"/>
      <c r="D5" s="193"/>
      <c r="E5" s="193"/>
      <c r="F5" s="193"/>
      <c r="G5" s="193"/>
      <c r="H5" s="193"/>
      <c r="I5" s="193"/>
      <c r="J5" s="193"/>
      <c r="K5" s="168"/>
    </row>
    <row r="6" spans="2:11" ht="28.5" x14ac:dyDescent="0.25">
      <c r="B6" s="41"/>
      <c r="C6" s="193"/>
      <c r="D6" s="193"/>
      <c r="E6" s="193"/>
      <c r="F6" s="193"/>
      <c r="G6" s="193"/>
      <c r="H6" s="193"/>
      <c r="I6" s="193"/>
      <c r="J6" s="193"/>
      <c r="K6" s="168"/>
    </row>
    <row r="7" spans="2:11" ht="14.45" customHeight="1" x14ac:dyDescent="0.25">
      <c r="B7" s="40"/>
      <c r="C7" s="193"/>
      <c r="D7" s="193"/>
      <c r="E7" s="193"/>
      <c r="F7" s="193"/>
      <c r="G7" s="193"/>
      <c r="H7" s="193"/>
      <c r="I7" s="193"/>
      <c r="J7" s="193"/>
      <c r="K7" s="168"/>
    </row>
    <row r="8" spans="2:11" x14ac:dyDescent="0.25">
      <c r="B8" s="42"/>
      <c r="C8" s="194" t="s">
        <v>84</v>
      </c>
      <c r="D8" s="194"/>
      <c r="E8" s="194"/>
      <c r="F8" s="194"/>
      <c r="G8" s="194"/>
      <c r="H8" s="194"/>
      <c r="I8" s="194"/>
      <c r="J8" s="194"/>
      <c r="K8" s="43"/>
    </row>
    <row r="9" spans="2:11" x14ac:dyDescent="0.25">
      <c r="B9" s="42"/>
      <c r="C9" s="194"/>
      <c r="D9" s="194"/>
      <c r="E9" s="194"/>
      <c r="F9" s="194"/>
      <c r="G9" s="194"/>
      <c r="H9" s="194"/>
      <c r="I9" s="194"/>
      <c r="J9" s="194"/>
      <c r="K9" s="43"/>
    </row>
    <row r="10" spans="2:11" x14ac:dyDescent="0.25">
      <c r="B10" s="42"/>
      <c r="C10" s="194"/>
      <c r="D10" s="194"/>
      <c r="E10" s="194"/>
      <c r="F10" s="194"/>
      <c r="G10" s="194"/>
      <c r="H10" s="194"/>
      <c r="I10" s="194"/>
      <c r="J10" s="194"/>
      <c r="K10" s="43"/>
    </row>
    <row r="11" spans="2:11" x14ac:dyDescent="0.25">
      <c r="B11" s="42"/>
      <c r="C11" s="194"/>
      <c r="D11" s="194"/>
      <c r="E11" s="194"/>
      <c r="F11" s="194"/>
      <c r="G11" s="194"/>
      <c r="H11" s="194"/>
      <c r="I11" s="194"/>
      <c r="J11" s="194"/>
      <c r="K11" s="43"/>
    </row>
    <row r="12" spans="2:11" ht="14.45" customHeight="1" x14ac:dyDescent="0.25">
      <c r="B12" s="42"/>
      <c r="K12" s="43"/>
    </row>
    <row r="13" spans="2:11" x14ac:dyDescent="0.25">
      <c r="B13" s="42"/>
      <c r="C13" s="195" t="s">
        <v>114</v>
      </c>
      <c r="D13" s="195"/>
      <c r="E13" s="195"/>
      <c r="F13" s="195"/>
      <c r="G13" s="195"/>
      <c r="H13" s="195"/>
      <c r="I13" s="195"/>
      <c r="J13" s="195"/>
      <c r="K13" s="43"/>
    </row>
    <row r="14" spans="2:11" x14ac:dyDescent="0.25">
      <c r="B14" s="42"/>
      <c r="C14" s="195"/>
      <c r="D14" s="195"/>
      <c r="E14" s="195"/>
      <c r="F14" s="195"/>
      <c r="G14" s="195"/>
      <c r="H14" s="195"/>
      <c r="I14" s="195"/>
      <c r="J14" s="195"/>
      <c r="K14" s="43"/>
    </row>
    <row r="15" spans="2:11" x14ac:dyDescent="0.25">
      <c r="B15" s="42"/>
      <c r="C15" s="195"/>
      <c r="D15" s="195"/>
      <c r="E15" s="195"/>
      <c r="F15" s="195"/>
      <c r="G15" s="195"/>
      <c r="H15" s="195"/>
      <c r="I15" s="195"/>
      <c r="J15" s="195"/>
      <c r="K15" s="43"/>
    </row>
    <row r="16" spans="2:11" x14ac:dyDescent="0.25">
      <c r="B16" s="42"/>
      <c r="C16" s="195"/>
      <c r="D16" s="195"/>
      <c r="E16" s="195"/>
      <c r="F16" s="195"/>
      <c r="G16" s="195"/>
      <c r="H16" s="195"/>
      <c r="I16" s="195"/>
      <c r="J16" s="195"/>
      <c r="K16" s="43"/>
    </row>
    <row r="17" spans="2:11" x14ac:dyDescent="0.25">
      <c r="B17" s="42"/>
      <c r="C17" s="195"/>
      <c r="D17" s="195"/>
      <c r="E17" s="195"/>
      <c r="F17" s="195"/>
      <c r="G17" s="195"/>
      <c r="H17" s="195"/>
      <c r="I17" s="195"/>
      <c r="J17" s="195"/>
      <c r="K17" s="43"/>
    </row>
    <row r="18" spans="2:11" ht="14.45" customHeight="1" x14ac:dyDescent="0.25">
      <c r="B18" s="42"/>
      <c r="K18" s="43"/>
    </row>
    <row r="19" spans="2:11" x14ac:dyDescent="0.25">
      <c r="B19" s="42"/>
      <c r="C19" s="196" t="s">
        <v>115</v>
      </c>
      <c r="D19" s="196"/>
      <c r="E19" s="196"/>
      <c r="F19" s="196"/>
      <c r="G19" s="196"/>
      <c r="H19" s="196"/>
      <c r="I19" s="196"/>
      <c r="J19" s="196"/>
      <c r="K19" s="43"/>
    </row>
    <row r="20" spans="2:11" x14ac:dyDescent="0.25">
      <c r="B20" s="42"/>
      <c r="C20" s="196"/>
      <c r="D20" s="196"/>
      <c r="E20" s="196"/>
      <c r="F20" s="196"/>
      <c r="G20" s="196"/>
      <c r="H20" s="196"/>
      <c r="I20" s="196"/>
      <c r="J20" s="196"/>
      <c r="K20" s="43"/>
    </row>
    <row r="21" spans="2:11" x14ac:dyDescent="0.25">
      <c r="B21" s="42"/>
      <c r="C21" s="196"/>
      <c r="D21" s="196"/>
      <c r="E21" s="196"/>
      <c r="F21" s="196"/>
      <c r="G21" s="196"/>
      <c r="H21" s="196"/>
      <c r="I21" s="196"/>
      <c r="J21" s="196"/>
      <c r="K21" s="43"/>
    </row>
    <row r="22" spans="2:11" x14ac:dyDescent="0.25">
      <c r="B22" s="42"/>
      <c r="K22" s="43"/>
    </row>
    <row r="23" spans="2:11" x14ac:dyDescent="0.25">
      <c r="B23" s="42"/>
      <c r="K23" s="43"/>
    </row>
    <row r="24" spans="2:11" x14ac:dyDescent="0.25">
      <c r="B24" s="42"/>
      <c r="K24" s="43"/>
    </row>
    <row r="25" spans="2:11" x14ac:dyDescent="0.25">
      <c r="B25" s="42"/>
      <c r="K25" s="43"/>
    </row>
    <row r="26" spans="2:11" x14ac:dyDescent="0.25">
      <c r="B26" s="42"/>
      <c r="K26" s="43"/>
    </row>
    <row r="27" spans="2:11" x14ac:dyDescent="0.25">
      <c r="B27" s="42"/>
      <c r="K27" s="43"/>
    </row>
    <row r="28" spans="2:11" x14ac:dyDescent="0.25">
      <c r="B28" s="45"/>
      <c r="C28" s="77" t="s">
        <v>86</v>
      </c>
      <c r="D28" s="78"/>
      <c r="E28" s="78"/>
      <c r="F28" s="78"/>
      <c r="G28" s="78"/>
      <c r="H28" s="78"/>
      <c r="I28" s="78"/>
      <c r="J28" s="78"/>
      <c r="K28" s="48"/>
    </row>
    <row r="29" spans="2:11" x14ac:dyDescent="0.25">
      <c r="B29" s="45"/>
      <c r="C29" s="78" t="s">
        <v>90</v>
      </c>
      <c r="D29" s="78"/>
      <c r="E29" s="78"/>
      <c r="F29" s="78"/>
      <c r="G29" s="78"/>
      <c r="H29" s="78"/>
      <c r="I29" s="78"/>
      <c r="J29" s="78"/>
      <c r="K29" s="48"/>
    </row>
    <row r="30" spans="2:11" x14ac:dyDescent="0.25">
      <c r="B30" s="45"/>
      <c r="C30" s="78" t="s">
        <v>116</v>
      </c>
      <c r="D30" s="78"/>
      <c r="E30" s="78"/>
      <c r="F30" s="78"/>
      <c r="G30" s="78"/>
      <c r="H30" s="78"/>
      <c r="I30" s="78"/>
      <c r="J30" s="78"/>
      <c r="K30" s="48"/>
    </row>
    <row r="31" spans="2:11" hidden="1" x14ac:dyDescent="0.25">
      <c r="B31" s="45"/>
      <c r="C31" s="79"/>
      <c r="D31" s="78"/>
      <c r="E31" s="78"/>
      <c r="F31" s="78"/>
      <c r="G31" s="78"/>
      <c r="H31" s="78"/>
      <c r="I31" s="78"/>
      <c r="J31" s="78"/>
      <c r="K31" s="48"/>
    </row>
    <row r="32" spans="2:11" x14ac:dyDescent="0.25">
      <c r="B32" s="45"/>
      <c r="C32" s="191" t="s">
        <v>291</v>
      </c>
      <c r="D32" s="191"/>
      <c r="E32" s="191"/>
      <c r="F32" s="191"/>
      <c r="G32" s="191"/>
      <c r="H32" s="191"/>
      <c r="I32" s="191"/>
      <c r="J32" s="191"/>
      <c r="K32" s="48"/>
    </row>
    <row r="33" spans="2:11" ht="33" customHeight="1" x14ac:dyDescent="0.25">
      <c r="B33" s="45"/>
      <c r="C33" s="191"/>
      <c r="D33" s="191"/>
      <c r="E33" s="191"/>
      <c r="F33" s="191"/>
      <c r="G33" s="191"/>
      <c r="H33" s="191"/>
      <c r="I33" s="191"/>
      <c r="J33" s="191"/>
      <c r="K33" s="48"/>
    </row>
    <row r="34" spans="2:11" x14ac:dyDescent="0.25">
      <c r="B34" s="42"/>
      <c r="K34" s="43"/>
    </row>
    <row r="35" spans="2:11" ht="14.45" customHeight="1" x14ac:dyDescent="0.25">
      <c r="B35" s="42"/>
      <c r="C35" s="80" t="s">
        <v>87</v>
      </c>
      <c r="K35" s="43"/>
    </row>
    <row r="36" spans="2:11" x14ac:dyDescent="0.25">
      <c r="B36" s="42"/>
      <c r="C36" s="197" t="s">
        <v>51</v>
      </c>
      <c r="D36" s="197"/>
      <c r="E36" s="197"/>
      <c r="F36" s="197"/>
      <c r="G36" s="197"/>
      <c r="H36" s="197"/>
      <c r="I36" s="197"/>
      <c r="J36" s="197"/>
      <c r="K36" s="43"/>
    </row>
    <row r="37" spans="2:11" x14ac:dyDescent="0.25">
      <c r="B37" s="42"/>
      <c r="C37" s="197"/>
      <c r="D37" s="197"/>
      <c r="E37" s="197"/>
      <c r="F37" s="197"/>
      <c r="G37" s="197"/>
      <c r="H37" s="197"/>
      <c r="I37" s="197"/>
      <c r="J37" s="197"/>
      <c r="K37" s="43"/>
    </row>
    <row r="38" spans="2:11" x14ac:dyDescent="0.25">
      <c r="B38" s="42"/>
      <c r="C38" s="197"/>
      <c r="D38" s="197"/>
      <c r="E38" s="197"/>
      <c r="F38" s="197"/>
      <c r="G38" s="197"/>
      <c r="H38" s="197"/>
      <c r="I38" s="197"/>
      <c r="J38" s="197"/>
      <c r="K38" s="43"/>
    </row>
    <row r="39" spans="2:11" x14ac:dyDescent="0.25">
      <c r="B39" s="42"/>
      <c r="K39" s="43"/>
    </row>
    <row r="40" spans="2:11" x14ac:dyDescent="0.25">
      <c r="B40" s="42"/>
      <c r="C40" s="80" t="s">
        <v>52</v>
      </c>
      <c r="D40" s="80"/>
      <c r="G40" s="80" t="s">
        <v>53</v>
      </c>
      <c r="K40" s="43"/>
    </row>
    <row r="41" spans="2:11" x14ac:dyDescent="0.25">
      <c r="B41" s="42"/>
      <c r="C41" s="37" t="s">
        <v>54</v>
      </c>
      <c r="G41" s="37" t="s">
        <v>55</v>
      </c>
      <c r="K41" s="43"/>
    </row>
    <row r="42" spans="2:11" x14ac:dyDescent="0.25">
      <c r="B42" s="42"/>
      <c r="C42" s="37" t="s">
        <v>56</v>
      </c>
      <c r="G42" s="37" t="s">
        <v>57</v>
      </c>
      <c r="K42" s="43"/>
    </row>
    <row r="43" spans="2:11" x14ac:dyDescent="0.25">
      <c r="B43" s="42"/>
      <c r="C43" s="37" t="s">
        <v>58</v>
      </c>
      <c r="G43" s="37" t="s">
        <v>59</v>
      </c>
      <c r="K43" s="43"/>
    </row>
    <row r="44" spans="2:11" x14ac:dyDescent="0.25">
      <c r="B44" s="42"/>
      <c r="C44" s="51" t="s">
        <v>60</v>
      </c>
      <c r="G44" s="51" t="s">
        <v>61</v>
      </c>
      <c r="K44" s="43"/>
    </row>
    <row r="45" spans="2:11" x14ac:dyDescent="0.25">
      <c r="B45" s="42"/>
      <c r="C45" s="37" t="s">
        <v>62</v>
      </c>
      <c r="G45" s="37" t="s">
        <v>63</v>
      </c>
      <c r="K45" s="43"/>
    </row>
    <row r="46" spans="2:11" x14ac:dyDescent="0.25">
      <c r="B46" s="52"/>
      <c r="C46" s="53"/>
      <c r="D46" s="53"/>
      <c r="E46" s="53"/>
      <c r="F46" s="53"/>
      <c r="G46" s="53"/>
      <c r="H46" s="53"/>
      <c r="I46" s="53"/>
      <c r="J46" s="53"/>
      <c r="K46" s="54"/>
    </row>
    <row r="50" spans="2:15" ht="36" x14ac:dyDescent="0.25">
      <c r="B50" s="200" t="s">
        <v>111</v>
      </c>
      <c r="C50" s="200"/>
      <c r="D50" s="200"/>
      <c r="E50" s="200"/>
      <c r="F50" s="200"/>
      <c r="G50" s="200"/>
      <c r="H50" s="200"/>
      <c r="I50" s="200"/>
      <c r="J50" s="200"/>
      <c r="K50" s="200"/>
      <c r="L50" s="200"/>
      <c r="M50" s="200"/>
    </row>
    <row r="51" spans="2:15" ht="47.25" customHeight="1" x14ac:dyDescent="0.25">
      <c r="B51" s="201" t="s">
        <v>117</v>
      </c>
      <c r="C51" s="201"/>
      <c r="D51" s="201"/>
      <c r="E51" s="201"/>
      <c r="F51" s="201"/>
      <c r="G51" s="201"/>
      <c r="H51" s="201"/>
      <c r="I51" s="201"/>
      <c r="J51" s="201"/>
      <c r="K51" s="201"/>
      <c r="L51" s="201"/>
      <c r="M51" s="201"/>
    </row>
    <row r="52" spans="2:15" ht="15.75" thickBot="1" x14ac:dyDescent="0.3"/>
    <row r="53" spans="2:15" ht="19.5" thickBot="1" x14ac:dyDescent="0.35">
      <c r="B53" s="198" t="s">
        <v>118</v>
      </c>
      <c r="C53" s="198"/>
      <c r="D53" s="198"/>
      <c r="E53" s="198"/>
      <c r="F53" s="198"/>
      <c r="G53" s="198"/>
      <c r="H53" s="198"/>
      <c r="I53" s="198"/>
      <c r="J53" s="198"/>
      <c r="K53" s="198"/>
      <c r="L53" s="198" t="s">
        <v>48</v>
      </c>
      <c r="M53" s="198"/>
      <c r="O53" s="55" t="s">
        <v>47</v>
      </c>
    </row>
    <row r="54" spans="2:15" ht="15.75" customHeight="1" thickBot="1" x14ac:dyDescent="0.3">
      <c r="B54" s="199" t="str">
        <f>IF(NOT(ISBLANK('Goal-Needs Matrix'!D7)), 'Goal-Needs Matrix'!D7, "")</f>
        <v xml:space="preserve">Do you expect congestion impacts to be noticeable to roadway users? </v>
      </c>
      <c r="C54" s="199"/>
      <c r="D54" s="199"/>
      <c r="E54" s="199"/>
      <c r="F54" s="199"/>
      <c r="G54" s="199"/>
      <c r="H54" s="199"/>
      <c r="I54" s="199"/>
      <c r="J54" s="199"/>
      <c r="K54" s="199"/>
      <c r="L54" s="202" t="s">
        <v>47</v>
      </c>
      <c r="M54" s="202"/>
      <c r="O54" s="55" t="s">
        <v>43</v>
      </c>
    </row>
    <row r="55" spans="2:15" ht="15.75" customHeight="1" thickBot="1" x14ac:dyDescent="0.3">
      <c r="B55" s="199" t="str">
        <f>IF(NOT(ISBLANK('Goal-Needs Matrix'!D8)), 'Goal-Needs Matrix'!D8, "")</f>
        <v>Is driver diversion expected onto alternate routes?</v>
      </c>
      <c r="C55" s="199"/>
      <c r="D55" s="199"/>
      <c r="E55" s="199"/>
      <c r="F55" s="199"/>
      <c r="G55" s="199"/>
      <c r="H55" s="199"/>
      <c r="I55" s="199"/>
      <c r="J55" s="199"/>
      <c r="K55" s="199"/>
      <c r="L55" s="202" t="s">
        <v>47</v>
      </c>
      <c r="M55" s="202"/>
      <c r="O55" s="55" t="s">
        <v>46</v>
      </c>
    </row>
    <row r="56" spans="2:15" ht="15.75" customHeight="1" thickBot="1" x14ac:dyDescent="0.3">
      <c r="B56" s="199" t="str">
        <f>IF(NOT(ISBLANK('Goal-Needs Matrix'!D9)), 'Goal-Needs Matrix'!D9, "")</f>
        <v>Do you anticipate significant queuing as a result of this work zone?</v>
      </c>
      <c r="C56" s="199"/>
      <c r="D56" s="199"/>
      <c r="E56" s="199"/>
      <c r="F56" s="199"/>
      <c r="G56" s="199"/>
      <c r="H56" s="199"/>
      <c r="I56" s="199"/>
      <c r="J56" s="199"/>
      <c r="K56" s="199"/>
      <c r="L56" s="202" t="s">
        <v>47</v>
      </c>
      <c r="M56" s="202"/>
    </row>
    <row r="57" spans="2:15" ht="15.75" customHeight="1" thickBot="1" x14ac:dyDescent="0.3">
      <c r="B57" s="199" t="str">
        <f>IF(NOT(ISBLANK('Goal-Needs Matrix'!D10)), 'Goal-Needs Matrix'!D10, "")</f>
        <v>Will this work zone have reduced lane widths?</v>
      </c>
      <c r="C57" s="199"/>
      <c r="D57" s="199"/>
      <c r="E57" s="199"/>
      <c r="F57" s="199"/>
      <c r="G57" s="199"/>
      <c r="H57" s="199"/>
      <c r="I57" s="199"/>
      <c r="J57" s="199"/>
      <c r="K57" s="199"/>
      <c r="L57" s="202" t="s">
        <v>47</v>
      </c>
      <c r="M57" s="202"/>
    </row>
    <row r="58" spans="2:15" ht="15.75" customHeight="1" thickBot="1" x14ac:dyDescent="0.3">
      <c r="B58" s="199" t="str">
        <f>IF(NOT(ISBLANK('Goal-Needs Matrix'!D11)), 'Goal-Needs Matrix'!D11, "")</f>
        <v>Will this work zone result in reduced sight distances that impact roadway users?</v>
      </c>
      <c r="C58" s="199"/>
      <c r="D58" s="199"/>
      <c r="E58" s="199"/>
      <c r="F58" s="199"/>
      <c r="G58" s="199"/>
      <c r="H58" s="199"/>
      <c r="I58" s="199"/>
      <c r="J58" s="199"/>
      <c r="K58" s="199"/>
      <c r="L58" s="202" t="s">
        <v>47</v>
      </c>
      <c r="M58" s="202"/>
    </row>
    <row r="59" spans="2:15" ht="15.75" customHeight="1" thickBot="1" x14ac:dyDescent="0.3">
      <c r="B59" s="199" t="str">
        <f>IF(NOT(ISBLANK('Goal-Needs Matrix'!D12)), 'Goal-Needs Matrix'!D12, "")</f>
        <v>Wil transit vehicles need to travel through the work zone?</v>
      </c>
      <c r="C59" s="199"/>
      <c r="D59" s="199"/>
      <c r="E59" s="199"/>
      <c r="F59" s="199"/>
      <c r="G59" s="199"/>
      <c r="H59" s="199"/>
      <c r="I59" s="199"/>
      <c r="J59" s="199"/>
      <c r="K59" s="199"/>
      <c r="L59" s="202" t="s">
        <v>47</v>
      </c>
      <c r="M59" s="202"/>
    </row>
    <row r="60" spans="2:15" ht="15.75" customHeight="1" thickBot="1" x14ac:dyDescent="0.3">
      <c r="B60" s="199" t="str">
        <f>IF(NOT(ISBLANK('Goal-Needs Matrix'!D13)), 'Goal-Needs Matrix'!D13, "")</f>
        <v>Will there be a high volume of construction vehicles requiring to access the work zone?</v>
      </c>
      <c r="C60" s="199"/>
      <c r="D60" s="199"/>
      <c r="E60" s="199"/>
      <c r="F60" s="199"/>
      <c r="G60" s="199"/>
      <c r="H60" s="199"/>
      <c r="I60" s="199"/>
      <c r="J60" s="199"/>
      <c r="K60" s="199"/>
      <c r="L60" s="202" t="s">
        <v>47</v>
      </c>
      <c r="M60" s="202"/>
    </row>
    <row r="61" spans="2:15" ht="15.75" customHeight="1" thickBot="1" x14ac:dyDescent="0.3">
      <c r="B61" s="199" t="str">
        <f>IF(NOT(ISBLANK('Goal-Needs Matrix'!D14)), 'Goal-Needs Matrix'!D14, "")</f>
        <v>Are there specific agency policies for work zones as required by the work zone safety and mobility rule?</v>
      </c>
      <c r="C61" s="199"/>
      <c r="D61" s="199"/>
      <c r="E61" s="199"/>
      <c r="F61" s="199"/>
      <c r="G61" s="199"/>
      <c r="H61" s="199"/>
      <c r="I61" s="199"/>
      <c r="J61" s="199"/>
      <c r="K61" s="199"/>
      <c r="L61" s="202" t="s">
        <v>47</v>
      </c>
      <c r="M61" s="202"/>
    </row>
    <row r="62" spans="2:15" ht="15.75" customHeight="1" thickBot="1" x14ac:dyDescent="0.3">
      <c r="B62" s="199" t="str">
        <f>IF(NOT(ISBLANK('Goal-Needs Matrix'!D15)), 'Goal-Needs Matrix'!D15, "")</f>
        <v>Does the agency have existing performance targets for work zone?</v>
      </c>
      <c r="C62" s="199"/>
      <c r="D62" s="199"/>
      <c r="E62" s="199"/>
      <c r="F62" s="199"/>
      <c r="G62" s="199"/>
      <c r="H62" s="199"/>
      <c r="I62" s="199"/>
      <c r="J62" s="199"/>
      <c r="K62" s="199"/>
      <c r="L62" s="202" t="s">
        <v>47</v>
      </c>
      <c r="M62" s="202"/>
    </row>
    <row r="63" spans="2:15" ht="15.75" customHeight="1" thickBot="1" x14ac:dyDescent="0.3">
      <c r="B63" s="199" t="str">
        <f>IF(NOT(ISBLANK('Goal-Needs Matrix'!D16)), 'Goal-Needs Matrix'!D16, "")</f>
        <v>Will outreach and traveler information be used for this work zone?</v>
      </c>
      <c r="C63" s="199"/>
      <c r="D63" s="199"/>
      <c r="E63" s="199"/>
      <c r="F63" s="199"/>
      <c r="G63" s="199"/>
      <c r="H63" s="199"/>
      <c r="I63" s="199"/>
      <c r="J63" s="199"/>
      <c r="K63" s="199"/>
      <c r="L63" s="202" t="s">
        <v>47</v>
      </c>
      <c r="M63" s="202"/>
    </row>
    <row r="64" spans="2:15" ht="15.75" customHeight="1" thickBot="1" x14ac:dyDescent="0.3">
      <c r="B64" s="199" t="str">
        <f>IF(NOT(ISBLANK('Goal-Needs Matrix'!D17)), 'Goal-Needs Matrix'!D17, "")</f>
        <v>Is additional data collection needed before and/or during construction for work zone performance measures?</v>
      </c>
      <c r="C64" s="199"/>
      <c r="D64" s="199"/>
      <c r="E64" s="199"/>
      <c r="F64" s="199"/>
      <c r="G64" s="199"/>
      <c r="H64" s="199"/>
      <c r="I64" s="199"/>
      <c r="J64" s="199"/>
      <c r="K64" s="199"/>
      <c r="L64" s="202" t="s">
        <v>47</v>
      </c>
      <c r="M64" s="202"/>
    </row>
    <row r="65" spans="2:13" ht="15.75" customHeight="1" thickBot="1" x14ac:dyDescent="0.3">
      <c r="B65" s="199" t="str">
        <f>IF(NOT(ISBLANK('Goal-Needs Matrix'!D18)), 'Goal-Needs Matrix'!D18, "")</f>
        <v>Will the shoulder in this work zone be eliminated (to where break downs and crashes cannot be accommodated)?</v>
      </c>
      <c r="C65" s="199"/>
      <c r="D65" s="199"/>
      <c r="E65" s="199"/>
      <c r="F65" s="199"/>
      <c r="G65" s="199"/>
      <c r="H65" s="199"/>
      <c r="I65" s="199"/>
      <c r="J65" s="199"/>
      <c r="K65" s="199"/>
      <c r="L65" s="202" t="s">
        <v>47</v>
      </c>
      <c r="M65" s="202"/>
    </row>
    <row r="66" spans="2:13" ht="15.75" customHeight="1" thickBot="1" x14ac:dyDescent="0.3">
      <c r="B66" s="199" t="str">
        <f>IF(NOT(ISBLANK('Goal-Needs Matrix'!D19)), 'Goal-Needs Matrix'!D19, "")</f>
        <v>Will speed limits in the work zone be lowered compared to base conditions?</v>
      </c>
      <c r="C66" s="199"/>
      <c r="D66" s="199"/>
      <c r="E66" s="199"/>
      <c r="F66" s="199"/>
      <c r="G66" s="199"/>
      <c r="H66" s="199"/>
      <c r="I66" s="199"/>
      <c r="J66" s="199"/>
      <c r="K66" s="199"/>
      <c r="L66" s="202" t="s">
        <v>47</v>
      </c>
      <c r="M66" s="202"/>
    </row>
    <row r="67" spans="2:13" ht="15.75" customHeight="1" thickBot="1" x14ac:dyDescent="0.3">
      <c r="B67" s="199" t="str">
        <f>IF(NOT(ISBLANK('Goal-Needs Matrix'!D20)), 'Goal-Needs Matrix'!D20, "")</f>
        <v>Does state law allow use of automated speed enforcement in work zones?</v>
      </c>
      <c r="C67" s="199"/>
      <c r="D67" s="199"/>
      <c r="E67" s="199"/>
      <c r="F67" s="199"/>
      <c r="G67" s="199"/>
      <c r="H67" s="199"/>
      <c r="I67" s="199"/>
      <c r="J67" s="199"/>
      <c r="K67" s="199"/>
      <c r="L67" s="202" t="s">
        <v>47</v>
      </c>
      <c r="M67" s="202"/>
    </row>
    <row r="68" spans="2:13" ht="15.75" customHeight="1" thickBot="1" x14ac:dyDescent="0.3">
      <c r="B68" s="199" t="str">
        <f>IF(NOT(ISBLANK('Goal-Needs Matrix'!D21)), 'Goal-Needs Matrix'!D21, "")</f>
        <v>Will ramp geometry under work zone conditions constrain acceleration lanes?</v>
      </c>
      <c r="C68" s="199"/>
      <c r="D68" s="199"/>
      <c r="E68" s="199"/>
      <c r="F68" s="199"/>
      <c r="G68" s="199"/>
      <c r="H68" s="199"/>
      <c r="I68" s="199"/>
      <c r="J68" s="199"/>
      <c r="K68" s="199"/>
      <c r="L68" s="202" t="s">
        <v>47</v>
      </c>
      <c r="M68" s="202"/>
    </row>
    <row r="69" spans="2:13" ht="15.75" customHeight="1" thickBot="1" x14ac:dyDescent="0.3">
      <c r="B69" s="199" t="str">
        <f>IF(NOT(ISBLANK('Goal-Needs Matrix'!D22)), 'Goal-Needs Matrix'!D22, "")</f>
        <v>Will work zone activities disable ramp meters (if applicable)?</v>
      </c>
      <c r="C69" s="199"/>
      <c r="D69" s="199"/>
      <c r="E69" s="199"/>
      <c r="F69" s="199"/>
      <c r="G69" s="199"/>
      <c r="H69" s="199"/>
      <c r="I69" s="199"/>
      <c r="J69" s="199"/>
      <c r="K69" s="199"/>
      <c r="L69" s="202" t="s">
        <v>47</v>
      </c>
      <c r="M69" s="202"/>
    </row>
    <row r="70" spans="2:13" ht="15.75" customHeight="1" thickBot="1" x14ac:dyDescent="0.3">
      <c r="B70" s="199" t="str">
        <f>IF(NOT(ISBLANK('Goal-Needs Matrix'!D23)), 'Goal-Needs Matrix'!D23, "")</f>
        <v>Will the work zone be included in the federally-mandated biannual process review?</v>
      </c>
      <c r="C70" s="199"/>
      <c r="D70" s="199"/>
      <c r="E70" s="199"/>
      <c r="F70" s="199"/>
      <c r="G70" s="199"/>
      <c r="H70" s="199"/>
      <c r="I70" s="199"/>
      <c r="J70" s="199"/>
      <c r="K70" s="199"/>
      <c r="L70" s="202" t="s">
        <v>47</v>
      </c>
      <c r="M70" s="202"/>
    </row>
    <row r="71" spans="2:13" ht="15.75" thickBot="1" x14ac:dyDescent="0.3">
      <c r="B71" s="199" t="str">
        <f>IF(NOT(ISBLANK('Goal-Needs Matrix'!D24)), 'Goal-Needs Matrix'!D24, "")</f>
        <v/>
      </c>
      <c r="C71" s="199"/>
      <c r="D71" s="199"/>
      <c r="E71" s="199"/>
      <c r="F71" s="199"/>
      <c r="G71" s="199"/>
      <c r="H71" s="199"/>
      <c r="I71" s="199"/>
      <c r="J71" s="199"/>
      <c r="K71" s="199"/>
      <c r="L71" s="202" t="s">
        <v>47</v>
      </c>
      <c r="M71" s="202"/>
    </row>
    <row r="72" spans="2:13" ht="15.75" thickBot="1" x14ac:dyDescent="0.3">
      <c r="B72" s="199" t="str">
        <f>IF(NOT(ISBLANK('Goal-Needs Matrix'!D25)), 'Goal-Needs Matrix'!D25, "")</f>
        <v/>
      </c>
      <c r="C72" s="199"/>
      <c r="D72" s="199"/>
      <c r="E72" s="199"/>
      <c r="F72" s="199"/>
      <c r="G72" s="199"/>
      <c r="H72" s="199"/>
      <c r="I72" s="199"/>
      <c r="J72" s="199"/>
      <c r="K72" s="199"/>
      <c r="L72" s="202" t="s">
        <v>47</v>
      </c>
      <c r="M72" s="202"/>
    </row>
    <row r="73" spans="2:13" ht="15.75" thickBot="1" x14ac:dyDescent="0.3">
      <c r="B73" s="199" t="str">
        <f>IF(NOT(ISBLANK('Goal-Needs Matrix'!D26)), 'Goal-Needs Matrix'!D26, "")</f>
        <v/>
      </c>
      <c r="C73" s="199"/>
      <c r="D73" s="199"/>
      <c r="E73" s="199"/>
      <c r="F73" s="199"/>
      <c r="G73" s="199"/>
      <c r="H73" s="199"/>
      <c r="I73" s="199"/>
      <c r="J73" s="199"/>
      <c r="K73" s="199"/>
      <c r="L73" s="202" t="s">
        <v>47</v>
      </c>
      <c r="M73" s="202"/>
    </row>
    <row r="74" spans="2:13" ht="15.75" thickBot="1" x14ac:dyDescent="0.3">
      <c r="B74" s="199" t="str">
        <f>IF(NOT(ISBLANK('Goal-Needs Matrix'!D27)), 'Goal-Needs Matrix'!D27, "")</f>
        <v xml:space="preserve">   </v>
      </c>
      <c r="C74" s="199"/>
      <c r="D74" s="199"/>
      <c r="E74" s="199"/>
      <c r="F74" s="199"/>
      <c r="G74" s="199"/>
      <c r="H74" s="199"/>
      <c r="I74" s="199"/>
      <c r="J74" s="199"/>
      <c r="K74" s="199"/>
      <c r="L74" s="202" t="s">
        <v>47</v>
      </c>
      <c r="M74" s="202"/>
    </row>
    <row r="75" spans="2:13" ht="15.75" thickBot="1" x14ac:dyDescent="0.3">
      <c r="B75" s="199" t="str">
        <f>IF(NOT(ISBLANK('Goal-Needs Matrix'!D28)), 'Goal-Needs Matrix'!D28, "")</f>
        <v xml:space="preserve">   </v>
      </c>
      <c r="C75" s="199"/>
      <c r="D75" s="199"/>
      <c r="E75" s="199"/>
      <c r="F75" s="199"/>
      <c r="G75" s="199"/>
      <c r="H75" s="199"/>
      <c r="I75" s="199"/>
      <c r="J75" s="199"/>
      <c r="K75" s="199"/>
      <c r="L75" s="202" t="s">
        <v>47</v>
      </c>
      <c r="M75" s="202"/>
    </row>
    <row r="76" spans="2:13" ht="15.75" thickBot="1" x14ac:dyDescent="0.3">
      <c r="B76" s="199" t="str">
        <f>IF(NOT(ISBLANK('Goal-Needs Matrix'!D29)), 'Goal-Needs Matrix'!D29, "")</f>
        <v xml:space="preserve">   </v>
      </c>
      <c r="C76" s="199"/>
      <c r="D76" s="199"/>
      <c r="E76" s="199"/>
      <c r="F76" s="199"/>
      <c r="G76" s="199"/>
      <c r="H76" s="199"/>
      <c r="I76" s="199"/>
      <c r="J76" s="199"/>
      <c r="K76" s="199"/>
      <c r="L76" s="202" t="s">
        <v>47</v>
      </c>
      <c r="M76" s="202"/>
    </row>
    <row r="79" spans="2:13" ht="36" x14ac:dyDescent="0.25">
      <c r="B79" s="176" t="s">
        <v>212</v>
      </c>
      <c r="C79" s="176"/>
      <c r="D79" s="176"/>
      <c r="E79" s="176"/>
      <c r="F79" s="176"/>
      <c r="G79" s="176"/>
      <c r="H79" s="176"/>
      <c r="I79" s="176"/>
      <c r="J79" s="176"/>
      <c r="K79" s="176"/>
      <c r="L79" s="176"/>
      <c r="M79" s="176"/>
    </row>
    <row r="80" spans="2:13" ht="54" customHeight="1" x14ac:dyDescent="0.25">
      <c r="B80" s="221" t="s">
        <v>144</v>
      </c>
      <c r="C80" s="221"/>
      <c r="D80" s="221"/>
      <c r="E80" s="221"/>
      <c r="F80" s="221"/>
      <c r="G80" s="221"/>
      <c r="H80" s="221"/>
      <c r="I80" s="221"/>
      <c r="J80" s="221"/>
      <c r="K80" s="221"/>
      <c r="L80" s="221"/>
      <c r="M80" s="221"/>
    </row>
    <row r="81" spans="2:13" ht="15.75" thickBot="1" x14ac:dyDescent="0.3">
      <c r="D81" s="81"/>
    </row>
    <row r="82" spans="2:13" ht="19.5" thickBot="1" x14ac:dyDescent="0.3">
      <c r="B82" s="82" t="s">
        <v>145</v>
      </c>
      <c r="C82" s="83"/>
      <c r="D82" s="218" t="s">
        <v>146</v>
      </c>
      <c r="E82" s="219"/>
      <c r="F82" s="219"/>
      <c r="G82" s="219"/>
      <c r="H82" s="219"/>
      <c r="I82" s="219"/>
      <c r="J82" s="219"/>
      <c r="K82" s="219"/>
      <c r="L82" s="220"/>
      <c r="M82" s="84" t="s">
        <v>49</v>
      </c>
    </row>
    <row r="83" spans="2:13" ht="15.75" thickBot="1" x14ac:dyDescent="0.3">
      <c r="B83" s="203" t="s">
        <v>147</v>
      </c>
      <c r="C83" s="204"/>
      <c r="D83" s="215"/>
      <c r="E83" s="216"/>
      <c r="F83" s="216"/>
      <c r="G83" s="216"/>
      <c r="H83" s="216"/>
      <c r="I83" s="216"/>
      <c r="J83" s="216"/>
      <c r="K83" s="216"/>
      <c r="L83" s="217"/>
      <c r="M83" s="85"/>
    </row>
    <row r="84" spans="2:13" ht="15.75" thickBot="1" x14ac:dyDescent="0.3">
      <c r="B84" s="205"/>
      <c r="C84" s="206"/>
      <c r="D84" s="215"/>
      <c r="E84" s="216"/>
      <c r="F84" s="216"/>
      <c r="G84" s="216"/>
      <c r="H84" s="216"/>
      <c r="I84" s="216"/>
      <c r="J84" s="216"/>
      <c r="K84" s="216"/>
      <c r="L84" s="217"/>
      <c r="M84" s="86"/>
    </row>
    <row r="85" spans="2:13" ht="15.75" thickBot="1" x14ac:dyDescent="0.3">
      <c r="B85" s="205"/>
      <c r="C85" s="206"/>
      <c r="D85" s="215"/>
      <c r="E85" s="216"/>
      <c r="F85" s="216"/>
      <c r="G85" s="216"/>
      <c r="H85" s="216"/>
      <c r="I85" s="216"/>
      <c r="J85" s="216"/>
      <c r="K85" s="216"/>
      <c r="L85" s="217"/>
      <c r="M85" s="86"/>
    </row>
    <row r="86" spans="2:13" ht="15.75" thickBot="1" x14ac:dyDescent="0.3">
      <c r="B86" s="205"/>
      <c r="C86" s="206"/>
      <c r="D86" s="215"/>
      <c r="E86" s="216"/>
      <c r="F86" s="216"/>
      <c r="G86" s="216"/>
      <c r="H86" s="216"/>
      <c r="I86" s="216"/>
      <c r="J86" s="216"/>
      <c r="K86" s="216"/>
      <c r="L86" s="217"/>
      <c r="M86" s="86"/>
    </row>
    <row r="87" spans="2:13" ht="15.75" thickBot="1" x14ac:dyDescent="0.3">
      <c r="B87" s="207"/>
      <c r="C87" s="208"/>
      <c r="D87" s="215"/>
      <c r="E87" s="216"/>
      <c r="F87" s="216"/>
      <c r="G87" s="216"/>
      <c r="H87" s="216"/>
      <c r="I87" s="216"/>
      <c r="J87" s="216"/>
      <c r="K87" s="216"/>
      <c r="L87" s="217"/>
      <c r="M87" s="86"/>
    </row>
    <row r="88" spans="2:13" ht="15.75" thickBot="1" x14ac:dyDescent="0.3">
      <c r="B88" s="203" t="s">
        <v>148</v>
      </c>
      <c r="C88" s="204"/>
      <c r="D88" s="215"/>
      <c r="E88" s="216"/>
      <c r="F88" s="216"/>
      <c r="G88" s="216"/>
      <c r="H88" s="216"/>
      <c r="I88" s="216"/>
      <c r="J88" s="216"/>
      <c r="K88" s="216"/>
      <c r="L88" s="217"/>
      <c r="M88" s="86"/>
    </row>
    <row r="89" spans="2:13" ht="15.75" thickBot="1" x14ac:dyDescent="0.3">
      <c r="B89" s="205"/>
      <c r="C89" s="206"/>
      <c r="D89" s="215"/>
      <c r="E89" s="216"/>
      <c r="F89" s="216"/>
      <c r="G89" s="216"/>
      <c r="H89" s="216"/>
      <c r="I89" s="216"/>
      <c r="J89" s="216"/>
      <c r="K89" s="216"/>
      <c r="L89" s="217"/>
      <c r="M89" s="86"/>
    </row>
    <row r="90" spans="2:13" ht="15.75" thickBot="1" x14ac:dyDescent="0.3">
      <c r="B90" s="205"/>
      <c r="C90" s="206"/>
      <c r="D90" s="215"/>
      <c r="E90" s="216"/>
      <c r="F90" s="216"/>
      <c r="G90" s="216"/>
      <c r="H90" s="216"/>
      <c r="I90" s="216"/>
      <c r="J90" s="216"/>
      <c r="K90" s="216"/>
      <c r="L90" s="217"/>
      <c r="M90" s="86"/>
    </row>
    <row r="91" spans="2:13" ht="15.75" thickBot="1" x14ac:dyDescent="0.3">
      <c r="B91" s="205"/>
      <c r="C91" s="206"/>
      <c r="D91" s="215"/>
      <c r="E91" s="216"/>
      <c r="F91" s="216"/>
      <c r="G91" s="216"/>
      <c r="H91" s="216"/>
      <c r="I91" s="216"/>
      <c r="J91" s="216"/>
      <c r="K91" s="216"/>
      <c r="L91" s="217"/>
      <c r="M91" s="86"/>
    </row>
    <row r="92" spans="2:13" ht="15.75" thickBot="1" x14ac:dyDescent="0.3">
      <c r="B92" s="205"/>
      <c r="C92" s="206"/>
      <c r="D92" s="215"/>
      <c r="E92" s="216"/>
      <c r="F92" s="216"/>
      <c r="G92" s="216"/>
      <c r="H92" s="216"/>
      <c r="I92" s="216"/>
      <c r="J92" s="216"/>
      <c r="K92" s="216"/>
      <c r="L92" s="217"/>
      <c r="M92" s="86"/>
    </row>
    <row r="93" spans="2:13" ht="15.75" thickBot="1" x14ac:dyDescent="0.3">
      <c r="B93" s="207"/>
      <c r="C93" s="208"/>
      <c r="D93" s="215"/>
      <c r="E93" s="216"/>
      <c r="F93" s="216"/>
      <c r="G93" s="216"/>
      <c r="H93" s="216"/>
      <c r="I93" s="216"/>
      <c r="J93" s="216"/>
      <c r="K93" s="216"/>
      <c r="L93" s="217"/>
      <c r="M93" s="86"/>
    </row>
    <row r="94" spans="2:13" ht="15.75" thickBot="1" x14ac:dyDescent="0.3">
      <c r="B94" s="203" t="s">
        <v>149</v>
      </c>
      <c r="C94" s="204"/>
      <c r="D94" s="215"/>
      <c r="E94" s="216"/>
      <c r="F94" s="216"/>
      <c r="G94" s="216"/>
      <c r="H94" s="216"/>
      <c r="I94" s="216"/>
      <c r="J94" s="216"/>
      <c r="K94" s="216"/>
      <c r="L94" s="217"/>
      <c r="M94" s="86"/>
    </row>
    <row r="95" spans="2:13" ht="15.75" thickBot="1" x14ac:dyDescent="0.3">
      <c r="B95" s="205"/>
      <c r="C95" s="206"/>
      <c r="D95" s="215"/>
      <c r="E95" s="216"/>
      <c r="F95" s="216"/>
      <c r="G95" s="216"/>
      <c r="H95" s="216"/>
      <c r="I95" s="216"/>
      <c r="J95" s="216"/>
      <c r="K95" s="216"/>
      <c r="L95" s="217"/>
      <c r="M95" s="86"/>
    </row>
    <row r="96" spans="2:13" ht="15.75" thickBot="1" x14ac:dyDescent="0.3">
      <c r="B96" s="207"/>
      <c r="C96" s="208"/>
      <c r="D96" s="215"/>
      <c r="E96" s="216"/>
      <c r="F96" s="216"/>
      <c r="G96" s="216"/>
      <c r="H96" s="216"/>
      <c r="I96" s="216"/>
      <c r="J96" s="216"/>
      <c r="K96" s="216"/>
      <c r="L96" s="217"/>
      <c r="M96" s="86"/>
    </row>
    <row r="97" spans="2:13" ht="15.75" thickBot="1" x14ac:dyDescent="0.3">
      <c r="B97" s="203" t="s">
        <v>150</v>
      </c>
      <c r="C97" s="204"/>
      <c r="D97" s="215"/>
      <c r="E97" s="216"/>
      <c r="F97" s="216"/>
      <c r="G97" s="216"/>
      <c r="H97" s="216"/>
      <c r="I97" s="216"/>
      <c r="J97" s="216"/>
      <c r="K97" s="216"/>
      <c r="L97" s="217"/>
      <c r="M97" s="86"/>
    </row>
    <row r="98" spans="2:13" ht="15.75" thickBot="1" x14ac:dyDescent="0.3">
      <c r="B98" s="205"/>
      <c r="C98" s="206"/>
      <c r="D98" s="215"/>
      <c r="E98" s="216"/>
      <c r="F98" s="216"/>
      <c r="G98" s="216"/>
      <c r="H98" s="216"/>
      <c r="I98" s="216"/>
      <c r="J98" s="216"/>
      <c r="K98" s="216"/>
      <c r="L98" s="217"/>
      <c r="M98" s="86"/>
    </row>
    <row r="99" spans="2:13" ht="15.75" thickBot="1" x14ac:dyDescent="0.3">
      <c r="B99" s="205"/>
      <c r="C99" s="206"/>
      <c r="D99" s="215"/>
      <c r="E99" s="216"/>
      <c r="F99" s="216"/>
      <c r="G99" s="216"/>
      <c r="H99" s="216"/>
      <c r="I99" s="216"/>
      <c r="J99" s="216"/>
      <c r="K99" s="216"/>
      <c r="L99" s="217"/>
      <c r="M99" s="86"/>
    </row>
    <row r="100" spans="2:13" ht="15.75" thickBot="1" x14ac:dyDescent="0.3">
      <c r="B100" s="205"/>
      <c r="C100" s="206"/>
      <c r="D100" s="215"/>
      <c r="E100" s="216"/>
      <c r="F100" s="216"/>
      <c r="G100" s="216"/>
      <c r="H100" s="216"/>
      <c r="I100" s="216"/>
      <c r="J100" s="216"/>
      <c r="K100" s="216"/>
      <c r="L100" s="217"/>
      <c r="M100" s="86"/>
    </row>
    <row r="101" spans="2:13" ht="15.75" thickBot="1" x14ac:dyDescent="0.3">
      <c r="B101" s="207"/>
      <c r="C101" s="208"/>
      <c r="D101" s="215"/>
      <c r="E101" s="216"/>
      <c r="F101" s="216"/>
      <c r="G101" s="216"/>
      <c r="H101" s="216"/>
      <c r="I101" s="216"/>
      <c r="J101" s="216"/>
      <c r="K101" s="216"/>
      <c r="L101" s="217"/>
      <c r="M101" s="86"/>
    </row>
    <row r="102" spans="2:13" ht="15.75" customHeight="1" thickBot="1" x14ac:dyDescent="0.3">
      <c r="B102" s="209" t="s">
        <v>151</v>
      </c>
      <c r="C102" s="210"/>
      <c r="D102" s="215"/>
      <c r="E102" s="216"/>
      <c r="F102" s="216"/>
      <c r="G102" s="216"/>
      <c r="H102" s="216"/>
      <c r="I102" s="216"/>
      <c r="J102" s="216"/>
      <c r="K102" s="216"/>
      <c r="L102" s="217"/>
      <c r="M102" s="85"/>
    </row>
    <row r="103" spans="2:13" ht="15.75" thickBot="1" x14ac:dyDescent="0.3">
      <c r="B103" s="211"/>
      <c r="C103" s="212"/>
      <c r="D103" s="215"/>
      <c r="E103" s="216"/>
      <c r="F103" s="216"/>
      <c r="G103" s="216"/>
      <c r="H103" s="216"/>
      <c r="I103" s="216"/>
      <c r="J103" s="216"/>
      <c r="K103" s="216"/>
      <c r="L103" s="217"/>
      <c r="M103" s="85"/>
    </row>
    <row r="104" spans="2:13" ht="15.75" thickBot="1" x14ac:dyDescent="0.3">
      <c r="B104" s="213"/>
      <c r="C104" s="214"/>
      <c r="D104" s="215"/>
      <c r="E104" s="216"/>
      <c r="F104" s="216"/>
      <c r="G104" s="216"/>
      <c r="H104" s="216"/>
      <c r="I104" s="216"/>
      <c r="J104" s="216"/>
      <c r="K104" s="216"/>
      <c r="L104" s="217"/>
      <c r="M104" s="86"/>
    </row>
  </sheetData>
  <sheetProtection sheet="1" objects="1" scenarios="1"/>
  <mergeCells count="87">
    <mergeCell ref="D82:L82"/>
    <mergeCell ref="B80:M80"/>
    <mergeCell ref="B79:M79"/>
    <mergeCell ref="B83:C87"/>
    <mergeCell ref="B88:C93"/>
    <mergeCell ref="D93:L93"/>
    <mergeCell ref="D87:L87"/>
    <mergeCell ref="D88:L88"/>
    <mergeCell ref="D89:L89"/>
    <mergeCell ref="D90:L90"/>
    <mergeCell ref="D91:L91"/>
    <mergeCell ref="D92:L92"/>
    <mergeCell ref="D83:L83"/>
    <mergeCell ref="D84:L84"/>
    <mergeCell ref="D85:L85"/>
    <mergeCell ref="D86:L86"/>
    <mergeCell ref="B94:C96"/>
    <mergeCell ref="B97:C101"/>
    <mergeCell ref="B102:C104"/>
    <mergeCell ref="D99:L99"/>
    <mergeCell ref="D100:L100"/>
    <mergeCell ref="D101:L101"/>
    <mergeCell ref="D102:L102"/>
    <mergeCell ref="D103:L103"/>
    <mergeCell ref="D104:L104"/>
    <mergeCell ref="D94:L94"/>
    <mergeCell ref="D95:L95"/>
    <mergeCell ref="D96:L96"/>
    <mergeCell ref="D97:L97"/>
    <mergeCell ref="D98:L98"/>
    <mergeCell ref="L72:M72"/>
    <mergeCell ref="L73:M73"/>
    <mergeCell ref="L74:M74"/>
    <mergeCell ref="L75:M75"/>
    <mergeCell ref="L76:M76"/>
    <mergeCell ref="B67:K67"/>
    <mergeCell ref="B56:K56"/>
    <mergeCell ref="B57:K57"/>
    <mergeCell ref="B58:K58"/>
    <mergeCell ref="B59:K59"/>
    <mergeCell ref="B60:K60"/>
    <mergeCell ref="B62:K62"/>
    <mergeCell ref="B63:K63"/>
    <mergeCell ref="B64:K64"/>
    <mergeCell ref="B65:K65"/>
    <mergeCell ref="B66:K66"/>
    <mergeCell ref="B61:K61"/>
    <mergeCell ref="L69:M69"/>
    <mergeCell ref="L70:M70"/>
    <mergeCell ref="L71:M71"/>
    <mergeCell ref="L60:M60"/>
    <mergeCell ref="L61:M61"/>
    <mergeCell ref="L62:M62"/>
    <mergeCell ref="L63:M63"/>
    <mergeCell ref="L64:M64"/>
    <mergeCell ref="L65:M65"/>
    <mergeCell ref="L66:M66"/>
    <mergeCell ref="L67:M67"/>
    <mergeCell ref="L68:M68"/>
    <mergeCell ref="B74:K74"/>
    <mergeCell ref="B75:K75"/>
    <mergeCell ref="B76:K76"/>
    <mergeCell ref="L53:M53"/>
    <mergeCell ref="L54:M54"/>
    <mergeCell ref="L55:M55"/>
    <mergeCell ref="L56:M56"/>
    <mergeCell ref="L57:M57"/>
    <mergeCell ref="L58:M58"/>
    <mergeCell ref="L59:M59"/>
    <mergeCell ref="B68:K68"/>
    <mergeCell ref="B69:K69"/>
    <mergeCell ref="B70:K70"/>
    <mergeCell ref="B71:K71"/>
    <mergeCell ref="B72:K72"/>
    <mergeCell ref="B73:K73"/>
    <mergeCell ref="C36:J38"/>
    <mergeCell ref="B53:K53"/>
    <mergeCell ref="B54:K54"/>
    <mergeCell ref="B55:K55"/>
    <mergeCell ref="B50:M50"/>
    <mergeCell ref="B51:M51"/>
    <mergeCell ref="C32:J33"/>
    <mergeCell ref="C2:K3"/>
    <mergeCell ref="C4:K7"/>
    <mergeCell ref="C8:J11"/>
    <mergeCell ref="C13:J17"/>
    <mergeCell ref="C19:J21"/>
  </mergeCells>
  <conditionalFormatting sqref="L54">
    <cfRule type="containsText" dxfId="30" priority="4" operator="containsText" text="Yes">
      <formula>NOT(ISERROR(SEARCH("Yes",L54)))</formula>
    </cfRule>
    <cfRule type="containsText" dxfId="29" priority="5" operator="containsText" text="No">
      <formula>NOT(ISERROR(SEARCH("No",L54)))</formula>
    </cfRule>
    <cfRule type="containsText" dxfId="28" priority="6" operator="containsText" text="Select from menu">
      <formula>NOT(ISERROR(SEARCH("Select from menu",L54)))</formula>
    </cfRule>
  </conditionalFormatting>
  <conditionalFormatting sqref="L55:L76">
    <cfRule type="containsText" dxfId="27" priority="1" operator="containsText" text="Yes">
      <formula>NOT(ISERROR(SEARCH("Yes",L55)))</formula>
    </cfRule>
    <cfRule type="containsText" dxfId="26" priority="2" operator="containsText" text="No">
      <formula>NOT(ISERROR(SEARCH("No",L55)))</formula>
    </cfRule>
    <cfRule type="containsText" dxfId="25" priority="3" operator="containsText" text="Select from menu">
      <formula>NOT(ISERROR(SEARCH("Select from menu",L55)))</formula>
    </cfRule>
  </conditionalFormatting>
  <dataValidations count="1">
    <dataValidation type="list" allowBlank="1" showInputMessage="1" showErrorMessage="1" sqref="L54:M76" xr:uid="{DEE04902-7F28-49A3-B7BD-028885DF60E8}">
      <formula1>$O$53:$O$55</formula1>
    </dataValidation>
  </dataValidations>
  <hyperlinks>
    <hyperlink ref="G44" r:id="rId1" xr:uid="{C720D2A3-FC45-4E2C-B3F1-79245157BBB1}"/>
    <hyperlink ref="C44" r:id="rId2" xr:uid="{A4C98390-EBF2-4BD9-905B-4D1CEC6BEF4C}"/>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8197" r:id="rId5" name="Button 5">
              <controlPr defaultSize="0" print="0" autoFill="0" autoPict="0" macro="[0]!Sheet6.ClearResponses">
                <anchor moveWithCells="1" sizeWithCells="1">
                  <from>
                    <xdr:col>13</xdr:col>
                    <xdr:colOff>171450</xdr:colOff>
                    <xdr:row>50</xdr:row>
                    <xdr:rowOff>0</xdr:rowOff>
                  </from>
                  <to>
                    <xdr:col>15</xdr:col>
                    <xdr:colOff>95250</xdr:colOff>
                    <xdr:row>50</xdr:row>
                    <xdr:rowOff>590550</xdr:rowOff>
                  </to>
                </anchor>
              </controlPr>
            </control>
          </mc:Choice>
        </mc:AlternateContent>
        <mc:AlternateContent xmlns:mc="http://schemas.openxmlformats.org/markup-compatibility/2006">
          <mc:Choice Requires="x14">
            <control shapeId="8198" r:id="rId6" name="Button 6">
              <controlPr defaultSize="0" print="0" autoFill="0" autoPict="0" macro="[0]!Sheet6.ViewScoringMatrix">
                <anchor moveWithCells="1" sizeWithCells="1">
                  <from>
                    <xdr:col>15</xdr:col>
                    <xdr:colOff>209550</xdr:colOff>
                    <xdr:row>50</xdr:row>
                    <xdr:rowOff>0</xdr:rowOff>
                  </from>
                  <to>
                    <xdr:col>16</xdr:col>
                    <xdr:colOff>600075</xdr:colOff>
                    <xdr:row>50</xdr:row>
                    <xdr:rowOff>581025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1A4C9-C3C7-4539-9155-27F794054CEA}">
  <sheetPr codeName="Sheet3">
    <tabColor theme="9" tint="0.79998168889431442"/>
    <pageSetUpPr fitToPage="1"/>
  </sheetPr>
  <dimension ref="A1:Z49"/>
  <sheetViews>
    <sheetView topLeftCell="A3" zoomScale="55" zoomScaleNormal="55" workbookViewId="0">
      <selection activeCell="B4" sqref="B4:D4"/>
    </sheetView>
  </sheetViews>
  <sheetFormatPr defaultColWidth="9.140625" defaultRowHeight="15" x14ac:dyDescent="0.25"/>
  <cols>
    <col min="1" max="1" width="4.85546875" style="6" customWidth="1"/>
    <col min="2" max="3" width="9.140625" style="1"/>
    <col min="4" max="4" width="42.42578125" style="1" customWidth="1"/>
    <col min="5" max="5" width="12.140625" style="3" customWidth="1"/>
    <col min="6" max="6" width="18.85546875" style="1" customWidth="1"/>
    <col min="7" max="9" width="12.42578125" style="1" customWidth="1"/>
    <col min="10" max="10" width="9.140625" style="1"/>
    <col min="11" max="11" width="12.28515625" style="1" customWidth="1"/>
    <col min="12" max="12" width="13" style="1" customWidth="1"/>
    <col min="13" max="13" width="12.140625" style="1" customWidth="1"/>
    <col min="14" max="15" width="14" style="1" customWidth="1"/>
    <col min="16" max="16" width="18.5703125" style="1" customWidth="1"/>
    <col min="17" max="18" width="12.7109375" style="1" customWidth="1"/>
    <col min="19" max="19" width="10.42578125" style="1" customWidth="1"/>
    <col min="20" max="20" width="12.85546875" style="1" customWidth="1"/>
    <col min="21" max="21" width="14.85546875" style="1" customWidth="1"/>
    <col min="22" max="23" width="15.5703125" style="1" customWidth="1"/>
    <col min="24" max="24" width="13.42578125" style="1" customWidth="1"/>
    <col min="25" max="26" width="13.5703125" style="1" customWidth="1"/>
    <col min="27" max="16384" width="9.140625" style="1"/>
  </cols>
  <sheetData>
    <row r="1" spans="1:26" hidden="1" x14ac:dyDescent="0.25"/>
    <row r="2" spans="1:26" hidden="1" x14ac:dyDescent="0.25"/>
    <row r="3" spans="1:26" ht="26.25" x14ac:dyDescent="0.4">
      <c r="D3" s="62"/>
    </row>
    <row r="4" spans="1:26" s="4" customFormat="1" ht="144.6" customHeight="1" thickBot="1" x14ac:dyDescent="0.4">
      <c r="A4" s="63"/>
      <c r="B4" s="223" t="s">
        <v>119</v>
      </c>
      <c r="C4" s="223"/>
      <c r="D4" s="223"/>
      <c r="E4" s="64"/>
      <c r="F4" s="64"/>
      <c r="G4" s="64"/>
      <c r="H4" s="64"/>
      <c r="I4" s="225" t="s">
        <v>294</v>
      </c>
      <c r="J4" s="225"/>
      <c r="K4" s="225"/>
      <c r="L4" s="225"/>
      <c r="M4" s="225"/>
      <c r="N4" s="225"/>
      <c r="O4" s="65"/>
    </row>
    <row r="5" spans="1:26" s="3" customFormat="1" ht="162.75" customHeight="1" thickBot="1" x14ac:dyDescent="0.3">
      <c r="A5" s="66"/>
      <c r="B5" s="67" t="s">
        <v>32</v>
      </c>
      <c r="C5" s="67" t="s">
        <v>260</v>
      </c>
      <c r="D5" s="67" t="s">
        <v>31</v>
      </c>
      <c r="E5" s="68" t="s">
        <v>120</v>
      </c>
      <c r="F5" s="69" t="s">
        <v>121</v>
      </c>
      <c r="G5" s="69" t="s">
        <v>122</v>
      </c>
      <c r="H5" s="69" t="s">
        <v>123</v>
      </c>
      <c r="I5" s="69"/>
      <c r="J5" s="69" t="s">
        <v>124</v>
      </c>
      <c r="K5" s="69" t="s">
        <v>125</v>
      </c>
      <c r="L5" s="69" t="s">
        <v>126</v>
      </c>
      <c r="M5" s="69" t="s">
        <v>127</v>
      </c>
      <c r="N5" s="69" t="s">
        <v>128</v>
      </c>
      <c r="O5" s="69"/>
      <c r="P5" s="69" t="s">
        <v>129</v>
      </c>
      <c r="Q5" s="69" t="s">
        <v>130</v>
      </c>
      <c r="R5" s="69"/>
      <c r="S5" s="69" t="s">
        <v>131</v>
      </c>
      <c r="T5" s="69" t="s">
        <v>132</v>
      </c>
      <c r="U5" s="69" t="s">
        <v>133</v>
      </c>
      <c r="V5" s="69"/>
      <c r="W5" s="69"/>
      <c r="X5" s="68" t="s">
        <v>134</v>
      </c>
      <c r="Y5" s="69" t="s">
        <v>135</v>
      </c>
      <c r="Z5" s="69"/>
    </row>
    <row r="6" spans="1:26" s="5" customFormat="1" ht="30.75" customHeight="1" thickBot="1" x14ac:dyDescent="0.3">
      <c r="A6" s="70"/>
      <c r="B6" s="16"/>
      <c r="C6" s="16"/>
      <c r="D6" s="16"/>
      <c r="E6" s="222" t="s">
        <v>44</v>
      </c>
      <c r="F6" s="222"/>
      <c r="G6" s="222"/>
      <c r="H6" s="222"/>
      <c r="I6" s="222"/>
      <c r="J6" s="224" t="s">
        <v>45</v>
      </c>
      <c r="K6" s="224"/>
      <c r="L6" s="224"/>
      <c r="M6" s="224"/>
      <c r="N6" s="224"/>
      <c r="O6" s="224"/>
      <c r="P6" s="224" t="s">
        <v>136</v>
      </c>
      <c r="Q6" s="224"/>
      <c r="R6" s="224"/>
      <c r="S6" s="224" t="s">
        <v>137</v>
      </c>
      <c r="T6" s="224"/>
      <c r="U6" s="224"/>
      <c r="V6" s="224"/>
      <c r="W6" s="224"/>
      <c r="X6" s="222" t="s">
        <v>138</v>
      </c>
      <c r="Y6" s="222"/>
      <c r="Z6" s="222"/>
    </row>
    <row r="7" spans="1:26" ht="30.75" thickBot="1" x14ac:dyDescent="0.3">
      <c r="A7" s="6">
        <f>IF('Goal Wizard'!L54="Yes",1,0)</f>
        <v>0</v>
      </c>
      <c r="B7" s="71" t="s">
        <v>0</v>
      </c>
      <c r="C7" s="71">
        <v>0</v>
      </c>
      <c r="D7" s="72" t="s">
        <v>263</v>
      </c>
      <c r="E7" s="73">
        <v>1</v>
      </c>
      <c r="F7" s="73">
        <v>1</v>
      </c>
      <c r="G7" s="73">
        <v>1</v>
      </c>
      <c r="H7" s="73">
        <v>1</v>
      </c>
      <c r="I7" s="73">
        <v>0</v>
      </c>
      <c r="J7" s="73">
        <v>1</v>
      </c>
      <c r="K7" s="73">
        <v>1</v>
      </c>
      <c r="L7" s="73">
        <v>1</v>
      </c>
      <c r="M7" s="73">
        <v>1</v>
      </c>
      <c r="N7" s="73">
        <v>1</v>
      </c>
      <c r="O7" s="73">
        <v>0</v>
      </c>
      <c r="P7" s="73">
        <v>0</v>
      </c>
      <c r="Q7" s="73">
        <v>0</v>
      </c>
      <c r="R7" s="73">
        <v>0</v>
      </c>
      <c r="S7" s="73">
        <v>1</v>
      </c>
      <c r="T7" s="73">
        <v>0</v>
      </c>
      <c r="U7" s="73">
        <v>1</v>
      </c>
      <c r="V7" s="73">
        <v>0</v>
      </c>
      <c r="W7" s="73">
        <v>0</v>
      </c>
      <c r="X7" s="73">
        <v>1</v>
      </c>
      <c r="Y7" s="73">
        <v>1</v>
      </c>
      <c r="Z7" s="73">
        <v>0</v>
      </c>
    </row>
    <row r="8" spans="1:26" ht="30.75" thickBot="1" x14ac:dyDescent="0.3">
      <c r="A8" s="6">
        <f>IF('Goal Wizard'!L55="Yes",1,0)</f>
        <v>0</v>
      </c>
      <c r="B8" s="71" t="s">
        <v>1</v>
      </c>
      <c r="C8" s="71">
        <v>1</v>
      </c>
      <c r="D8" s="72" t="s">
        <v>33</v>
      </c>
      <c r="E8" s="73">
        <v>1</v>
      </c>
      <c r="F8" s="73">
        <v>1</v>
      </c>
      <c r="G8" s="73">
        <v>1</v>
      </c>
      <c r="H8" s="73">
        <v>1</v>
      </c>
      <c r="I8" s="73">
        <v>0</v>
      </c>
      <c r="J8" s="73">
        <v>0</v>
      </c>
      <c r="K8" s="73">
        <v>1</v>
      </c>
      <c r="L8" s="73">
        <v>1</v>
      </c>
      <c r="M8" s="73">
        <v>1</v>
      </c>
      <c r="N8" s="73">
        <v>0</v>
      </c>
      <c r="O8" s="73">
        <v>0</v>
      </c>
      <c r="P8" s="73">
        <v>0</v>
      </c>
      <c r="Q8" s="73">
        <v>0</v>
      </c>
      <c r="R8" s="73">
        <v>0</v>
      </c>
      <c r="S8" s="73">
        <v>1</v>
      </c>
      <c r="T8" s="73">
        <v>1</v>
      </c>
      <c r="U8" s="73">
        <v>0</v>
      </c>
      <c r="V8" s="73">
        <v>0</v>
      </c>
      <c r="W8" s="73">
        <v>0</v>
      </c>
      <c r="X8" s="73">
        <v>1</v>
      </c>
      <c r="Y8" s="73">
        <v>1</v>
      </c>
      <c r="Z8" s="73">
        <v>0</v>
      </c>
    </row>
    <row r="9" spans="1:26" ht="30.75" thickBot="1" x14ac:dyDescent="0.3">
      <c r="A9" s="6">
        <f>IF('Goal Wizard'!L56="Yes",1,0)</f>
        <v>0</v>
      </c>
      <c r="B9" s="71" t="s">
        <v>2</v>
      </c>
      <c r="C9" s="71">
        <v>2</v>
      </c>
      <c r="D9" s="72" t="s">
        <v>34</v>
      </c>
      <c r="E9" s="73">
        <v>1</v>
      </c>
      <c r="F9" s="73">
        <v>1</v>
      </c>
      <c r="G9" s="73">
        <v>1</v>
      </c>
      <c r="H9" s="73">
        <v>1</v>
      </c>
      <c r="I9" s="73">
        <v>0</v>
      </c>
      <c r="J9" s="73">
        <v>1</v>
      </c>
      <c r="K9" s="73">
        <v>1</v>
      </c>
      <c r="L9" s="73">
        <v>1</v>
      </c>
      <c r="M9" s="73">
        <v>1</v>
      </c>
      <c r="N9" s="73">
        <v>1</v>
      </c>
      <c r="O9" s="73">
        <v>0</v>
      </c>
      <c r="P9" s="73">
        <v>0</v>
      </c>
      <c r="Q9" s="73">
        <v>0</v>
      </c>
      <c r="R9" s="73">
        <v>0</v>
      </c>
      <c r="S9" s="73">
        <v>1</v>
      </c>
      <c r="T9" s="73">
        <v>1</v>
      </c>
      <c r="U9" s="73">
        <v>0</v>
      </c>
      <c r="V9" s="73">
        <v>0</v>
      </c>
      <c r="W9" s="73">
        <v>0</v>
      </c>
      <c r="X9" s="73">
        <v>1</v>
      </c>
      <c r="Y9" s="73">
        <v>1</v>
      </c>
      <c r="Z9" s="73">
        <v>0</v>
      </c>
    </row>
    <row r="10" spans="1:26" ht="30.75" thickBot="1" x14ac:dyDescent="0.3">
      <c r="A10" s="6">
        <f>IF('Goal Wizard'!L57="Yes",1,0)</f>
        <v>0</v>
      </c>
      <c r="B10" s="71" t="s">
        <v>3</v>
      </c>
      <c r="C10" s="71">
        <v>3</v>
      </c>
      <c r="D10" s="72" t="s">
        <v>152</v>
      </c>
      <c r="E10" s="73">
        <v>1</v>
      </c>
      <c r="F10" s="73">
        <v>1</v>
      </c>
      <c r="G10" s="73">
        <v>0</v>
      </c>
      <c r="H10" s="73">
        <v>0</v>
      </c>
      <c r="I10" s="73">
        <v>0</v>
      </c>
      <c r="J10" s="73">
        <v>1</v>
      </c>
      <c r="K10" s="73">
        <v>1</v>
      </c>
      <c r="L10" s="73">
        <v>1</v>
      </c>
      <c r="M10" s="73">
        <v>0</v>
      </c>
      <c r="N10" s="73">
        <v>1</v>
      </c>
      <c r="O10" s="73">
        <v>0</v>
      </c>
      <c r="P10" s="73">
        <v>0</v>
      </c>
      <c r="Q10" s="73">
        <v>0</v>
      </c>
      <c r="R10" s="73">
        <v>0</v>
      </c>
      <c r="S10" s="73">
        <v>0</v>
      </c>
      <c r="T10" s="73">
        <v>0</v>
      </c>
      <c r="U10" s="73">
        <v>0</v>
      </c>
      <c r="V10" s="73">
        <v>0</v>
      </c>
      <c r="W10" s="73">
        <v>0</v>
      </c>
      <c r="X10" s="73">
        <v>0</v>
      </c>
      <c r="Y10" s="73">
        <v>0</v>
      </c>
      <c r="Z10" s="73">
        <v>0</v>
      </c>
    </row>
    <row r="11" spans="1:26" ht="30.75" thickBot="1" x14ac:dyDescent="0.3">
      <c r="A11" s="6">
        <f>IF('Goal Wizard'!L58="Yes",1,0)</f>
        <v>0</v>
      </c>
      <c r="B11" s="71" t="s">
        <v>3</v>
      </c>
      <c r="C11" s="71">
        <v>4</v>
      </c>
      <c r="D11" s="72" t="s">
        <v>264</v>
      </c>
      <c r="E11" s="73">
        <v>1</v>
      </c>
      <c r="F11" s="73">
        <v>1</v>
      </c>
      <c r="G11" s="73">
        <v>0</v>
      </c>
      <c r="H11" s="73">
        <v>0</v>
      </c>
      <c r="I11" s="73">
        <v>0</v>
      </c>
      <c r="J11" s="73">
        <v>1</v>
      </c>
      <c r="K11" s="73">
        <v>1</v>
      </c>
      <c r="L11" s="73">
        <v>1</v>
      </c>
      <c r="M11" s="73">
        <v>0</v>
      </c>
      <c r="N11" s="73">
        <v>1</v>
      </c>
      <c r="O11" s="73">
        <v>0</v>
      </c>
      <c r="P11" s="73">
        <v>0</v>
      </c>
      <c r="Q11" s="73">
        <v>0</v>
      </c>
      <c r="R11" s="73">
        <v>0</v>
      </c>
      <c r="S11" s="73">
        <v>0</v>
      </c>
      <c r="T11" s="73">
        <v>0</v>
      </c>
      <c r="U11" s="73">
        <v>0</v>
      </c>
      <c r="V11" s="73">
        <v>0</v>
      </c>
      <c r="W11" s="73">
        <v>0</v>
      </c>
      <c r="X11" s="73">
        <v>0</v>
      </c>
      <c r="Y11" s="73">
        <v>0</v>
      </c>
      <c r="Z11" s="73">
        <v>0</v>
      </c>
    </row>
    <row r="12" spans="1:26" ht="30.75" thickBot="1" x14ac:dyDescent="0.3">
      <c r="A12" s="6">
        <f>IF('Goal Wizard'!L59="Yes",1,0)</f>
        <v>0</v>
      </c>
      <c r="B12" s="71" t="s">
        <v>3</v>
      </c>
      <c r="C12" s="71">
        <v>5</v>
      </c>
      <c r="D12" s="72" t="s">
        <v>153</v>
      </c>
      <c r="E12" s="73">
        <v>0</v>
      </c>
      <c r="F12" s="73">
        <v>0</v>
      </c>
      <c r="G12" s="73">
        <v>1</v>
      </c>
      <c r="H12" s="73">
        <v>1</v>
      </c>
      <c r="I12" s="73">
        <v>0</v>
      </c>
      <c r="J12" s="73">
        <v>0</v>
      </c>
      <c r="K12" s="73">
        <v>0</v>
      </c>
      <c r="L12" s="73">
        <v>0</v>
      </c>
      <c r="M12" s="73">
        <v>0</v>
      </c>
      <c r="N12" s="73">
        <v>0</v>
      </c>
      <c r="O12" s="73">
        <v>0</v>
      </c>
      <c r="P12" s="73">
        <v>0</v>
      </c>
      <c r="Q12" s="73">
        <v>0</v>
      </c>
      <c r="R12" s="73">
        <v>0</v>
      </c>
      <c r="S12" s="73">
        <v>1</v>
      </c>
      <c r="T12" s="73">
        <v>0</v>
      </c>
      <c r="U12" s="73">
        <v>0</v>
      </c>
      <c r="V12" s="73">
        <v>0</v>
      </c>
      <c r="W12" s="73">
        <v>0</v>
      </c>
      <c r="X12" s="73">
        <v>0</v>
      </c>
      <c r="Y12" s="73">
        <v>0</v>
      </c>
      <c r="Z12" s="73">
        <v>0</v>
      </c>
    </row>
    <row r="13" spans="1:26" ht="30.75" thickBot="1" x14ac:dyDescent="0.3">
      <c r="A13" s="6">
        <f>IF('Goal Wizard'!L60="Yes",1,0)</f>
        <v>0</v>
      </c>
      <c r="B13" s="71" t="s">
        <v>4</v>
      </c>
      <c r="C13" s="71">
        <v>6</v>
      </c>
      <c r="D13" s="72" t="s">
        <v>154</v>
      </c>
      <c r="E13" s="73">
        <v>1</v>
      </c>
      <c r="F13" s="73">
        <v>1</v>
      </c>
      <c r="G13" s="73">
        <v>0</v>
      </c>
      <c r="H13" s="73">
        <v>0</v>
      </c>
      <c r="I13" s="73">
        <v>0</v>
      </c>
      <c r="J13" s="73">
        <v>0</v>
      </c>
      <c r="K13" s="73">
        <v>0</v>
      </c>
      <c r="L13" s="73">
        <v>0</v>
      </c>
      <c r="M13" s="73">
        <v>0</v>
      </c>
      <c r="N13" s="73">
        <v>0</v>
      </c>
      <c r="O13" s="73">
        <v>0</v>
      </c>
      <c r="P13" s="73">
        <v>1</v>
      </c>
      <c r="Q13" s="73">
        <v>1</v>
      </c>
      <c r="R13" s="73">
        <v>0</v>
      </c>
      <c r="S13" s="73">
        <v>0</v>
      </c>
      <c r="T13" s="73">
        <v>0</v>
      </c>
      <c r="U13" s="73">
        <v>1</v>
      </c>
      <c r="V13" s="73">
        <v>0</v>
      </c>
      <c r="W13" s="73">
        <v>0</v>
      </c>
      <c r="X13" s="73">
        <v>0</v>
      </c>
      <c r="Y13" s="73">
        <v>0</v>
      </c>
      <c r="Z13" s="73">
        <v>0</v>
      </c>
    </row>
    <row r="14" spans="1:26" ht="45.75" thickBot="1" x14ac:dyDescent="0.3">
      <c r="A14" s="6">
        <f>IF('Goal Wizard'!L61="Yes",1,0)</f>
        <v>0</v>
      </c>
      <c r="B14" s="71" t="s">
        <v>5</v>
      </c>
      <c r="C14" s="71">
        <v>7</v>
      </c>
      <c r="D14" s="72" t="s">
        <v>265</v>
      </c>
      <c r="E14" s="73">
        <v>1</v>
      </c>
      <c r="F14" s="73">
        <v>0</v>
      </c>
      <c r="G14" s="73">
        <v>1</v>
      </c>
      <c r="H14" s="73">
        <v>1</v>
      </c>
      <c r="I14" s="73">
        <v>0</v>
      </c>
      <c r="J14" s="73">
        <v>1</v>
      </c>
      <c r="K14" s="73">
        <v>1</v>
      </c>
      <c r="L14" s="73">
        <v>1</v>
      </c>
      <c r="M14" s="73">
        <v>1</v>
      </c>
      <c r="N14" s="73">
        <v>1</v>
      </c>
      <c r="O14" s="73">
        <v>0</v>
      </c>
      <c r="P14" s="73">
        <v>0</v>
      </c>
      <c r="Q14" s="73">
        <v>0</v>
      </c>
      <c r="R14" s="73">
        <v>0</v>
      </c>
      <c r="S14" s="73">
        <v>1</v>
      </c>
      <c r="T14" s="73">
        <v>0</v>
      </c>
      <c r="U14" s="73">
        <v>1</v>
      </c>
      <c r="V14" s="73">
        <v>0</v>
      </c>
      <c r="W14" s="73">
        <v>0</v>
      </c>
      <c r="X14" s="73">
        <v>0</v>
      </c>
      <c r="Y14" s="73">
        <v>0</v>
      </c>
      <c r="Z14" s="73">
        <v>0</v>
      </c>
    </row>
    <row r="15" spans="1:26" ht="30.75" thickBot="1" x14ac:dyDescent="0.3">
      <c r="A15" s="6">
        <f>IF('Goal Wizard'!L62="Yes",1,0)</f>
        <v>0</v>
      </c>
      <c r="B15" s="71" t="s">
        <v>6</v>
      </c>
      <c r="C15" s="71">
        <v>8</v>
      </c>
      <c r="D15" s="72" t="s">
        <v>36</v>
      </c>
      <c r="E15" s="73">
        <v>1</v>
      </c>
      <c r="F15" s="73">
        <v>0</v>
      </c>
      <c r="G15" s="73">
        <v>1</v>
      </c>
      <c r="H15" s="73">
        <v>1</v>
      </c>
      <c r="I15" s="73">
        <v>0</v>
      </c>
      <c r="J15" s="73">
        <v>1</v>
      </c>
      <c r="K15" s="73">
        <v>1</v>
      </c>
      <c r="L15" s="73">
        <v>1</v>
      </c>
      <c r="M15" s="73">
        <v>1</v>
      </c>
      <c r="N15" s="73">
        <v>1</v>
      </c>
      <c r="O15" s="73">
        <v>0</v>
      </c>
      <c r="P15" s="73">
        <v>1</v>
      </c>
      <c r="Q15" s="73">
        <v>0</v>
      </c>
      <c r="R15" s="73">
        <v>0</v>
      </c>
      <c r="S15" s="73">
        <v>1</v>
      </c>
      <c r="T15" s="73">
        <v>1</v>
      </c>
      <c r="U15" s="73">
        <v>1</v>
      </c>
      <c r="V15" s="73">
        <v>0</v>
      </c>
      <c r="W15" s="73">
        <v>0</v>
      </c>
      <c r="X15" s="73">
        <v>0</v>
      </c>
      <c r="Y15" s="73">
        <v>0</v>
      </c>
      <c r="Z15" s="73">
        <v>0</v>
      </c>
    </row>
    <row r="16" spans="1:26" ht="30.75" thickBot="1" x14ac:dyDescent="0.3">
      <c r="A16" s="6">
        <f>IF('Goal Wizard'!L63="Yes",1,0)</f>
        <v>0</v>
      </c>
      <c r="B16" s="71" t="s">
        <v>7</v>
      </c>
      <c r="C16" s="71">
        <v>9</v>
      </c>
      <c r="D16" s="72" t="s">
        <v>66</v>
      </c>
      <c r="E16" s="73">
        <v>0</v>
      </c>
      <c r="F16" s="73">
        <v>0</v>
      </c>
      <c r="G16" s="73">
        <v>0</v>
      </c>
      <c r="H16" s="73">
        <v>1</v>
      </c>
      <c r="I16" s="73">
        <v>0</v>
      </c>
      <c r="J16" s="73">
        <v>0</v>
      </c>
      <c r="K16" s="73">
        <v>0</v>
      </c>
      <c r="L16" s="73">
        <v>0</v>
      </c>
      <c r="M16" s="73">
        <v>0</v>
      </c>
      <c r="N16" s="73">
        <v>0</v>
      </c>
      <c r="O16" s="73">
        <v>0</v>
      </c>
      <c r="P16" s="73">
        <v>0</v>
      </c>
      <c r="Q16" s="73">
        <v>0</v>
      </c>
      <c r="R16" s="73">
        <v>0</v>
      </c>
      <c r="S16" s="73">
        <v>1</v>
      </c>
      <c r="T16" s="73">
        <v>1</v>
      </c>
      <c r="U16" s="73">
        <v>0</v>
      </c>
      <c r="V16" s="73">
        <v>0</v>
      </c>
      <c r="W16" s="73">
        <v>0</v>
      </c>
      <c r="X16" s="73">
        <v>1</v>
      </c>
      <c r="Y16" s="73">
        <v>1</v>
      </c>
      <c r="Z16" s="73">
        <v>0</v>
      </c>
    </row>
    <row r="17" spans="1:26" ht="45.75" thickBot="1" x14ac:dyDescent="0.3">
      <c r="A17" s="6">
        <f>IF('Goal Wizard'!L64="Yes",1,0)</f>
        <v>0</v>
      </c>
      <c r="B17" s="71" t="s">
        <v>8</v>
      </c>
      <c r="C17" s="71">
        <v>10</v>
      </c>
      <c r="D17" s="72" t="s">
        <v>266</v>
      </c>
      <c r="E17" s="73">
        <v>0</v>
      </c>
      <c r="F17" s="73">
        <v>0</v>
      </c>
      <c r="G17" s="73">
        <v>1</v>
      </c>
      <c r="H17" s="73">
        <v>1</v>
      </c>
      <c r="I17" s="73">
        <v>0</v>
      </c>
      <c r="J17" s="73">
        <v>1</v>
      </c>
      <c r="K17" s="73">
        <v>1</v>
      </c>
      <c r="L17" s="73">
        <v>1</v>
      </c>
      <c r="M17" s="73">
        <v>1</v>
      </c>
      <c r="N17" s="73">
        <v>0</v>
      </c>
      <c r="O17" s="73">
        <v>0</v>
      </c>
      <c r="P17" s="73">
        <v>0</v>
      </c>
      <c r="Q17" s="73">
        <v>0</v>
      </c>
      <c r="R17" s="73">
        <v>0</v>
      </c>
      <c r="S17" s="73">
        <v>1</v>
      </c>
      <c r="T17" s="73">
        <v>1</v>
      </c>
      <c r="U17" s="73">
        <v>0</v>
      </c>
      <c r="V17" s="73">
        <v>0</v>
      </c>
      <c r="W17" s="73">
        <v>0</v>
      </c>
      <c r="X17" s="73">
        <v>1</v>
      </c>
      <c r="Y17" s="73">
        <v>1</v>
      </c>
      <c r="Z17" s="73">
        <v>0</v>
      </c>
    </row>
    <row r="18" spans="1:26" ht="45.75" thickBot="1" x14ac:dyDescent="0.3">
      <c r="A18" s="6">
        <f>IF('Goal Wizard'!L65="Yes",1,0)</f>
        <v>0</v>
      </c>
      <c r="B18" s="71" t="s">
        <v>9</v>
      </c>
      <c r="C18" s="71">
        <v>11</v>
      </c>
      <c r="D18" s="72" t="s">
        <v>155</v>
      </c>
      <c r="E18" s="73">
        <v>1</v>
      </c>
      <c r="F18" s="73">
        <v>1</v>
      </c>
      <c r="G18" s="73">
        <v>0</v>
      </c>
      <c r="H18" s="73">
        <v>0</v>
      </c>
      <c r="I18" s="73">
        <v>0</v>
      </c>
      <c r="J18" s="73">
        <v>1</v>
      </c>
      <c r="K18" s="73">
        <v>1</v>
      </c>
      <c r="L18" s="73">
        <v>1</v>
      </c>
      <c r="M18" s="73">
        <v>0</v>
      </c>
      <c r="N18" s="73">
        <v>1</v>
      </c>
      <c r="O18" s="73">
        <v>0</v>
      </c>
      <c r="P18" s="73">
        <v>0</v>
      </c>
      <c r="Q18" s="73">
        <v>0</v>
      </c>
      <c r="R18" s="73">
        <v>0</v>
      </c>
      <c r="S18" s="73">
        <v>0</v>
      </c>
      <c r="T18" s="73">
        <v>0</v>
      </c>
      <c r="U18" s="73">
        <v>0</v>
      </c>
      <c r="V18" s="73">
        <v>0</v>
      </c>
      <c r="W18" s="73">
        <v>0</v>
      </c>
      <c r="X18" s="73">
        <v>0</v>
      </c>
      <c r="Y18" s="73">
        <v>0</v>
      </c>
      <c r="Z18" s="73">
        <v>0</v>
      </c>
    </row>
    <row r="19" spans="1:26" ht="30.75" thickBot="1" x14ac:dyDescent="0.3">
      <c r="A19" s="6">
        <f>IF('Goal Wizard'!L66="Yes",1,0)</f>
        <v>0</v>
      </c>
      <c r="B19" s="71" t="s">
        <v>10</v>
      </c>
      <c r="C19" s="71">
        <v>12</v>
      </c>
      <c r="D19" s="72" t="s">
        <v>156</v>
      </c>
      <c r="E19" s="73">
        <v>0</v>
      </c>
      <c r="F19" s="73">
        <v>1</v>
      </c>
      <c r="G19" s="73">
        <v>0</v>
      </c>
      <c r="H19" s="73">
        <v>1</v>
      </c>
      <c r="I19" s="73">
        <v>0</v>
      </c>
      <c r="J19" s="73">
        <v>1</v>
      </c>
      <c r="K19" s="73">
        <v>1</v>
      </c>
      <c r="L19" s="73">
        <v>1</v>
      </c>
      <c r="M19" s="73">
        <v>1</v>
      </c>
      <c r="N19" s="73">
        <v>0</v>
      </c>
      <c r="O19" s="73">
        <v>0</v>
      </c>
      <c r="P19" s="73">
        <v>1</v>
      </c>
      <c r="Q19" s="73">
        <v>0</v>
      </c>
      <c r="R19" s="73">
        <v>0</v>
      </c>
      <c r="S19" s="73">
        <v>1</v>
      </c>
      <c r="T19" s="73">
        <v>1</v>
      </c>
      <c r="U19" s="73">
        <v>0</v>
      </c>
      <c r="V19" s="73">
        <v>0</v>
      </c>
      <c r="W19" s="73">
        <v>0</v>
      </c>
      <c r="X19" s="73">
        <v>1</v>
      </c>
      <c r="Y19" s="73">
        <v>1</v>
      </c>
      <c r="Z19" s="73">
        <v>0</v>
      </c>
    </row>
    <row r="20" spans="1:26" ht="30.75" thickBot="1" x14ac:dyDescent="0.3">
      <c r="A20" s="6">
        <f>IF('Goal Wizard'!L67="Yes",1,0)</f>
        <v>0</v>
      </c>
      <c r="B20" s="71"/>
      <c r="C20" s="71">
        <v>13</v>
      </c>
      <c r="D20" s="72" t="s">
        <v>157</v>
      </c>
      <c r="E20" s="73">
        <v>0</v>
      </c>
      <c r="F20" s="73">
        <v>1</v>
      </c>
      <c r="G20" s="73">
        <v>0</v>
      </c>
      <c r="H20" s="73">
        <v>1</v>
      </c>
      <c r="I20" s="73">
        <v>0</v>
      </c>
      <c r="J20" s="73">
        <v>1</v>
      </c>
      <c r="K20" s="73">
        <v>1</v>
      </c>
      <c r="L20" s="73">
        <v>0</v>
      </c>
      <c r="M20" s="73">
        <v>1</v>
      </c>
      <c r="N20" s="73">
        <v>1</v>
      </c>
      <c r="O20" s="73">
        <v>0</v>
      </c>
      <c r="P20" s="73">
        <v>0</v>
      </c>
      <c r="Q20" s="73">
        <v>0</v>
      </c>
      <c r="R20" s="73">
        <v>0</v>
      </c>
      <c r="S20" s="73">
        <v>1</v>
      </c>
      <c r="T20" s="73">
        <v>1</v>
      </c>
      <c r="U20" s="73">
        <v>0</v>
      </c>
      <c r="V20" s="73">
        <v>0</v>
      </c>
      <c r="W20" s="73">
        <v>0</v>
      </c>
      <c r="X20" s="73">
        <v>0</v>
      </c>
      <c r="Y20" s="73">
        <v>0</v>
      </c>
      <c r="Z20" s="73">
        <v>0</v>
      </c>
    </row>
    <row r="21" spans="1:26" ht="30.75" thickBot="1" x14ac:dyDescent="0.3">
      <c r="A21" s="6">
        <f>IF('Goal Wizard'!L68="Yes",1,0)</f>
        <v>0</v>
      </c>
      <c r="B21" s="71"/>
      <c r="C21" s="71">
        <v>14</v>
      </c>
      <c r="D21" s="72" t="s">
        <v>158</v>
      </c>
      <c r="E21" s="73">
        <v>0</v>
      </c>
      <c r="F21" s="73">
        <v>0</v>
      </c>
      <c r="G21" s="73">
        <v>0</v>
      </c>
      <c r="H21" s="73">
        <v>1</v>
      </c>
      <c r="I21" s="73">
        <v>0</v>
      </c>
      <c r="J21" s="73">
        <v>1</v>
      </c>
      <c r="K21" s="73">
        <v>0</v>
      </c>
      <c r="L21" s="73">
        <v>0</v>
      </c>
      <c r="M21" s="73">
        <v>0</v>
      </c>
      <c r="N21" s="73">
        <v>0</v>
      </c>
      <c r="O21" s="73">
        <v>0</v>
      </c>
      <c r="P21" s="73">
        <v>0</v>
      </c>
      <c r="Q21" s="73">
        <v>0</v>
      </c>
      <c r="R21" s="73">
        <v>0</v>
      </c>
      <c r="S21" s="73">
        <v>0</v>
      </c>
      <c r="T21" s="73">
        <v>0</v>
      </c>
      <c r="U21" s="73">
        <v>0</v>
      </c>
      <c r="V21" s="73">
        <v>0</v>
      </c>
      <c r="W21" s="73">
        <v>0</v>
      </c>
      <c r="X21" s="73">
        <v>0</v>
      </c>
      <c r="Y21" s="73">
        <v>0</v>
      </c>
      <c r="Z21" s="73">
        <v>0</v>
      </c>
    </row>
    <row r="22" spans="1:26" ht="30.75" thickBot="1" x14ac:dyDescent="0.3">
      <c r="A22" s="6">
        <f>IF('Goal Wizard'!L69="Yes",1,0)</f>
        <v>0</v>
      </c>
      <c r="B22" s="71"/>
      <c r="C22" s="71">
        <v>15</v>
      </c>
      <c r="D22" s="72" t="s">
        <v>159</v>
      </c>
      <c r="E22" s="73">
        <v>0</v>
      </c>
      <c r="F22" s="73">
        <v>0</v>
      </c>
      <c r="G22" s="73">
        <v>0</v>
      </c>
      <c r="H22" s="73">
        <v>1</v>
      </c>
      <c r="I22" s="73">
        <v>0</v>
      </c>
      <c r="J22" s="73">
        <v>0</v>
      </c>
      <c r="K22" s="73">
        <v>0</v>
      </c>
      <c r="L22" s="73">
        <v>0</v>
      </c>
      <c r="M22" s="73">
        <v>0</v>
      </c>
      <c r="N22" s="73">
        <v>0</v>
      </c>
      <c r="O22" s="73">
        <v>0</v>
      </c>
      <c r="P22" s="73">
        <v>0</v>
      </c>
      <c r="Q22" s="73">
        <v>0</v>
      </c>
      <c r="R22" s="73">
        <v>0</v>
      </c>
      <c r="S22" s="73">
        <v>0</v>
      </c>
      <c r="T22" s="73">
        <v>0</v>
      </c>
      <c r="U22" s="73">
        <v>0</v>
      </c>
      <c r="V22" s="73">
        <v>0</v>
      </c>
      <c r="W22" s="73">
        <v>0</v>
      </c>
      <c r="X22" s="73">
        <v>0</v>
      </c>
      <c r="Y22" s="73">
        <v>0</v>
      </c>
      <c r="Z22" s="73">
        <v>0</v>
      </c>
    </row>
    <row r="23" spans="1:26" ht="45.75" thickBot="1" x14ac:dyDescent="0.3">
      <c r="A23" s="6">
        <f>IF('Goal Wizard'!L70="Yes",1,0)</f>
        <v>0</v>
      </c>
      <c r="B23" s="71"/>
      <c r="C23" s="71">
        <v>16</v>
      </c>
      <c r="D23" s="72" t="s">
        <v>64</v>
      </c>
      <c r="E23" s="73">
        <v>0</v>
      </c>
      <c r="F23" s="73">
        <v>0</v>
      </c>
      <c r="G23" s="73">
        <v>0</v>
      </c>
      <c r="H23" s="73">
        <v>0</v>
      </c>
      <c r="I23" s="73">
        <v>0</v>
      </c>
      <c r="J23" s="73">
        <v>1</v>
      </c>
      <c r="K23" s="73">
        <v>1</v>
      </c>
      <c r="L23" s="73">
        <v>1</v>
      </c>
      <c r="M23" s="73">
        <v>1</v>
      </c>
      <c r="N23" s="73">
        <v>1</v>
      </c>
      <c r="O23" s="73">
        <v>0</v>
      </c>
      <c r="P23" s="73">
        <v>0</v>
      </c>
      <c r="Q23" s="73">
        <v>0</v>
      </c>
      <c r="R23" s="73">
        <v>0</v>
      </c>
      <c r="S23" s="73">
        <v>1</v>
      </c>
      <c r="T23" s="73">
        <v>1</v>
      </c>
      <c r="U23" s="73">
        <v>1</v>
      </c>
      <c r="V23" s="73">
        <v>0</v>
      </c>
      <c r="W23" s="73">
        <v>0</v>
      </c>
      <c r="X23" s="73">
        <v>0</v>
      </c>
      <c r="Y23" s="73">
        <v>0</v>
      </c>
      <c r="Z23" s="73">
        <v>0</v>
      </c>
    </row>
    <row r="24" spans="1:26" ht="15.75" thickBot="1" x14ac:dyDescent="0.3">
      <c r="A24" s="6">
        <f>IF('Goal Wizard'!L71="Yes",1,0)</f>
        <v>0</v>
      </c>
      <c r="B24" s="71"/>
      <c r="C24" s="71"/>
      <c r="D24" s="72"/>
      <c r="E24" s="73">
        <v>0</v>
      </c>
      <c r="F24" s="73">
        <v>0</v>
      </c>
      <c r="G24" s="73">
        <v>0</v>
      </c>
      <c r="H24" s="73">
        <v>0</v>
      </c>
      <c r="I24" s="73">
        <v>0</v>
      </c>
      <c r="J24" s="73">
        <v>0</v>
      </c>
      <c r="K24" s="73">
        <v>0</v>
      </c>
      <c r="L24" s="73">
        <v>0</v>
      </c>
      <c r="M24" s="73">
        <v>0</v>
      </c>
      <c r="N24" s="73">
        <v>0</v>
      </c>
      <c r="O24" s="73">
        <v>0</v>
      </c>
      <c r="P24" s="73">
        <v>0</v>
      </c>
      <c r="Q24" s="73">
        <v>0</v>
      </c>
      <c r="R24" s="73">
        <v>0</v>
      </c>
      <c r="S24" s="73">
        <v>0</v>
      </c>
      <c r="T24" s="73">
        <v>0</v>
      </c>
      <c r="U24" s="73">
        <v>0</v>
      </c>
      <c r="V24" s="73">
        <v>0</v>
      </c>
      <c r="W24" s="73">
        <v>0</v>
      </c>
      <c r="X24" s="73">
        <v>0</v>
      </c>
      <c r="Y24" s="73">
        <v>0</v>
      </c>
      <c r="Z24" s="73">
        <v>0</v>
      </c>
    </row>
    <row r="25" spans="1:26" ht="15.75" thickBot="1" x14ac:dyDescent="0.3">
      <c r="A25" s="6">
        <f>IF('Goal Wizard'!L72="Yes",1,0)</f>
        <v>0</v>
      </c>
      <c r="B25" s="71"/>
      <c r="C25" s="71"/>
      <c r="D25" s="72"/>
      <c r="E25" s="73">
        <v>0</v>
      </c>
      <c r="F25" s="73">
        <v>0</v>
      </c>
      <c r="G25" s="73">
        <v>0</v>
      </c>
      <c r="H25" s="73">
        <v>0</v>
      </c>
      <c r="I25" s="73">
        <v>0</v>
      </c>
      <c r="J25" s="73">
        <v>0</v>
      </c>
      <c r="K25" s="73">
        <v>0</v>
      </c>
      <c r="L25" s="73">
        <v>0</v>
      </c>
      <c r="M25" s="73">
        <v>0</v>
      </c>
      <c r="N25" s="73">
        <v>0</v>
      </c>
      <c r="O25" s="73">
        <v>0</v>
      </c>
      <c r="P25" s="73">
        <v>0</v>
      </c>
      <c r="Q25" s="73">
        <v>0</v>
      </c>
      <c r="R25" s="73">
        <v>0</v>
      </c>
      <c r="S25" s="73">
        <v>0</v>
      </c>
      <c r="T25" s="73">
        <v>0</v>
      </c>
      <c r="U25" s="73">
        <v>0</v>
      </c>
      <c r="V25" s="73">
        <v>0</v>
      </c>
      <c r="W25" s="73">
        <v>0</v>
      </c>
      <c r="X25" s="73">
        <v>0</v>
      </c>
      <c r="Y25" s="73">
        <v>0</v>
      </c>
      <c r="Z25" s="73">
        <v>0</v>
      </c>
    </row>
    <row r="26" spans="1:26" ht="15.75" thickBot="1" x14ac:dyDescent="0.3">
      <c r="A26" s="6">
        <f>IF('Goal Wizard'!L73="Yes",1,0)</f>
        <v>0</v>
      </c>
      <c r="B26" s="71"/>
      <c r="C26" s="71"/>
      <c r="D26" s="72"/>
      <c r="E26" s="73">
        <v>0</v>
      </c>
      <c r="F26" s="73">
        <v>0</v>
      </c>
      <c r="G26" s="73">
        <v>0</v>
      </c>
      <c r="H26" s="73">
        <v>0</v>
      </c>
      <c r="I26" s="73">
        <v>0</v>
      </c>
      <c r="J26" s="73">
        <v>0</v>
      </c>
      <c r="K26" s="73">
        <v>0</v>
      </c>
      <c r="L26" s="73">
        <v>0</v>
      </c>
      <c r="M26" s="73">
        <v>0</v>
      </c>
      <c r="N26" s="73">
        <v>0</v>
      </c>
      <c r="O26" s="73">
        <v>0</v>
      </c>
      <c r="P26" s="73">
        <v>0</v>
      </c>
      <c r="Q26" s="73">
        <v>0</v>
      </c>
      <c r="R26" s="73">
        <v>0</v>
      </c>
      <c r="S26" s="73">
        <v>0</v>
      </c>
      <c r="T26" s="73">
        <v>0</v>
      </c>
      <c r="U26" s="73">
        <v>0</v>
      </c>
      <c r="V26" s="73">
        <v>0</v>
      </c>
      <c r="W26" s="73">
        <v>0</v>
      </c>
      <c r="X26" s="73">
        <v>0</v>
      </c>
      <c r="Y26" s="73">
        <v>0</v>
      </c>
      <c r="Z26" s="73">
        <v>0</v>
      </c>
    </row>
    <row r="27" spans="1:26" ht="15.75" thickBot="1" x14ac:dyDescent="0.3">
      <c r="A27" s="6">
        <f>IF('Goal Wizard'!L74="Yes",1,0)</f>
        <v>0</v>
      </c>
      <c r="B27" s="71"/>
      <c r="C27" s="71"/>
      <c r="D27" s="74" t="s">
        <v>139</v>
      </c>
      <c r="E27" s="73">
        <v>0</v>
      </c>
      <c r="F27" s="73">
        <v>0</v>
      </c>
      <c r="G27" s="73">
        <v>0</v>
      </c>
      <c r="H27" s="73">
        <v>0</v>
      </c>
      <c r="I27" s="73">
        <v>0</v>
      </c>
      <c r="J27" s="73">
        <v>0</v>
      </c>
      <c r="K27" s="73">
        <v>0</v>
      </c>
      <c r="L27" s="73">
        <v>0</v>
      </c>
      <c r="M27" s="73">
        <v>0</v>
      </c>
      <c r="N27" s="73">
        <v>0</v>
      </c>
      <c r="O27" s="73">
        <v>0</v>
      </c>
      <c r="P27" s="73">
        <v>0</v>
      </c>
      <c r="Q27" s="73">
        <v>0</v>
      </c>
      <c r="R27" s="73">
        <v>0</v>
      </c>
      <c r="S27" s="73">
        <v>0</v>
      </c>
      <c r="T27" s="73">
        <v>0</v>
      </c>
      <c r="U27" s="73">
        <v>0</v>
      </c>
      <c r="V27" s="73">
        <v>0</v>
      </c>
      <c r="W27" s="73">
        <v>0</v>
      </c>
      <c r="X27" s="73">
        <v>0</v>
      </c>
      <c r="Y27" s="73">
        <v>0</v>
      </c>
      <c r="Z27" s="73">
        <v>0</v>
      </c>
    </row>
    <row r="28" spans="1:26" ht="15.75" thickBot="1" x14ac:dyDescent="0.3">
      <c r="A28" s="6">
        <f>IF('Goal Wizard'!L75="Yes",1,0)</f>
        <v>0</v>
      </c>
      <c r="B28" s="71"/>
      <c r="C28" s="71"/>
      <c r="D28" s="74" t="s">
        <v>139</v>
      </c>
      <c r="E28" s="73">
        <v>0</v>
      </c>
      <c r="F28" s="73">
        <v>0</v>
      </c>
      <c r="G28" s="73">
        <v>0</v>
      </c>
      <c r="H28" s="73">
        <v>0</v>
      </c>
      <c r="I28" s="73">
        <v>0</v>
      </c>
      <c r="J28" s="73">
        <v>0</v>
      </c>
      <c r="K28" s="73">
        <v>0</v>
      </c>
      <c r="L28" s="73">
        <v>0</v>
      </c>
      <c r="M28" s="73">
        <v>0</v>
      </c>
      <c r="N28" s="73">
        <v>0</v>
      </c>
      <c r="O28" s="73">
        <v>0</v>
      </c>
      <c r="P28" s="73">
        <v>0</v>
      </c>
      <c r="Q28" s="73">
        <v>0</v>
      </c>
      <c r="R28" s="73">
        <v>0</v>
      </c>
      <c r="S28" s="73">
        <v>0</v>
      </c>
      <c r="T28" s="73">
        <v>0</v>
      </c>
      <c r="U28" s="73">
        <v>0</v>
      </c>
      <c r="V28" s="73">
        <v>0</v>
      </c>
      <c r="W28" s="73">
        <v>0</v>
      </c>
      <c r="X28" s="73">
        <v>0</v>
      </c>
      <c r="Y28" s="73">
        <v>0</v>
      </c>
      <c r="Z28" s="73">
        <v>0</v>
      </c>
    </row>
    <row r="29" spans="1:26" ht="15.75" thickBot="1" x14ac:dyDescent="0.3">
      <c r="A29" s="6">
        <f>IF('Goal Wizard'!L76="Yes",1,0)</f>
        <v>0</v>
      </c>
      <c r="B29" s="71"/>
      <c r="C29" s="71"/>
      <c r="D29" s="74" t="s">
        <v>139</v>
      </c>
      <c r="E29" s="73">
        <v>0</v>
      </c>
      <c r="F29" s="73">
        <v>0</v>
      </c>
      <c r="G29" s="73">
        <v>0</v>
      </c>
      <c r="H29" s="73">
        <v>0</v>
      </c>
      <c r="I29" s="73">
        <v>0</v>
      </c>
      <c r="J29" s="73">
        <v>0</v>
      </c>
      <c r="K29" s="73">
        <v>0</v>
      </c>
      <c r="L29" s="73">
        <v>0</v>
      </c>
      <c r="M29" s="73">
        <v>0</v>
      </c>
      <c r="N29" s="73">
        <v>0</v>
      </c>
      <c r="O29" s="73">
        <v>0</v>
      </c>
      <c r="P29" s="73">
        <v>0</v>
      </c>
      <c r="Q29" s="73">
        <v>0</v>
      </c>
      <c r="R29" s="73">
        <v>0</v>
      </c>
      <c r="S29" s="73">
        <v>0</v>
      </c>
      <c r="T29" s="73">
        <v>0</v>
      </c>
      <c r="U29" s="73">
        <v>0</v>
      </c>
      <c r="V29" s="73">
        <v>0</v>
      </c>
      <c r="W29" s="73">
        <v>0</v>
      </c>
      <c r="X29" s="73">
        <v>0</v>
      </c>
      <c r="Y29" s="73">
        <v>0</v>
      </c>
      <c r="Z29" s="73">
        <v>0</v>
      </c>
    </row>
    <row r="36" spans="2:26" ht="14.45" customHeight="1" x14ac:dyDescent="0.25"/>
    <row r="37" spans="2:26" ht="14.45" customHeight="1" x14ac:dyDescent="0.25"/>
    <row r="38" spans="2:26" ht="14.45" customHeight="1" x14ac:dyDescent="0.25"/>
    <row r="39" spans="2:26" ht="18" customHeight="1" x14ac:dyDescent="0.25">
      <c r="E39" s="3">
        <f>RANK(E40,$E$40:$I$40)</f>
        <v>1</v>
      </c>
      <c r="F39" s="3">
        <f>RANK(F40,$E$40:$I$40)</f>
        <v>1</v>
      </c>
      <c r="G39" s="3">
        <f>RANK(G40,$E$40:$I$40)</f>
        <v>1</v>
      </c>
      <c r="H39" s="3">
        <f>RANK(H40,$E$40:$I$40)</f>
        <v>1</v>
      </c>
      <c r="I39" s="3">
        <f>RANK(I40,$E$40:$I$40)</f>
        <v>1</v>
      </c>
      <c r="J39" s="1">
        <f t="shared" ref="J39:O39" si="0">RANK(J40,$J$40:$O$40)</f>
        <v>1</v>
      </c>
      <c r="K39" s="1">
        <f t="shared" si="0"/>
        <v>1</v>
      </c>
      <c r="L39" s="1">
        <f t="shared" si="0"/>
        <v>1</v>
      </c>
      <c r="M39" s="1">
        <f t="shared" si="0"/>
        <v>1</v>
      </c>
      <c r="N39" s="1">
        <f t="shared" si="0"/>
        <v>1</v>
      </c>
      <c r="O39" s="1">
        <f t="shared" si="0"/>
        <v>1</v>
      </c>
      <c r="P39" s="1">
        <f>RANK(P40,$P$40:$R$40)</f>
        <v>1</v>
      </c>
      <c r="Q39" s="1">
        <f>RANK(Q40,$P$40:$R$40)</f>
        <v>1</v>
      </c>
      <c r="R39" s="1">
        <f>RANK(R40,$P$40:$R$40)</f>
        <v>1</v>
      </c>
      <c r="S39" s="1">
        <f>RANK(S40,$S$40:$W$40)</f>
        <v>1</v>
      </c>
      <c r="T39" s="1">
        <f>RANK(T40,$S$40:$W$40)</f>
        <v>1</v>
      </c>
      <c r="U39" s="1">
        <f>RANK(U40,$S$40:$W$40)</f>
        <v>1</v>
      </c>
      <c r="V39" s="1">
        <f>RANK(V40,$S$40:$W$40)</f>
        <v>1</v>
      </c>
      <c r="W39" s="1">
        <f>RANK(W40,$S$40:$W$40)</f>
        <v>1</v>
      </c>
      <c r="X39" s="1">
        <f>RANK(X40,$X$40:$Z$40)</f>
        <v>1</v>
      </c>
      <c r="Y39" s="1">
        <f>RANK(Y40,$X$40:$Z$40)</f>
        <v>1</v>
      </c>
      <c r="Z39" s="1">
        <f>RANK(Z40,$X$40:$Z$40)</f>
        <v>1</v>
      </c>
    </row>
    <row r="40" spans="2:26" ht="33.75" customHeight="1" x14ac:dyDescent="0.25">
      <c r="E40" s="75">
        <f>SUMPRODUCT(E7:E29,$A$7:$A$29)</f>
        <v>0</v>
      </c>
      <c r="F40" s="75">
        <f t="shared" ref="F40:Z40" si="1">SUMPRODUCT(F7:F29,$A$7:$A$29)</f>
        <v>0</v>
      </c>
      <c r="G40" s="75">
        <f t="shared" si="1"/>
        <v>0</v>
      </c>
      <c r="H40" s="75">
        <f>SUMPRODUCT(H7:H29,$A$7:$A$29)</f>
        <v>0</v>
      </c>
      <c r="I40" s="75">
        <f t="shared" si="1"/>
        <v>0</v>
      </c>
      <c r="J40" s="75">
        <f t="shared" si="1"/>
        <v>0</v>
      </c>
      <c r="K40" s="75">
        <f t="shared" si="1"/>
        <v>0</v>
      </c>
      <c r="L40" s="75">
        <f t="shared" si="1"/>
        <v>0</v>
      </c>
      <c r="M40" s="75">
        <f t="shared" si="1"/>
        <v>0</v>
      </c>
      <c r="N40" s="75">
        <f t="shared" si="1"/>
        <v>0</v>
      </c>
      <c r="O40" s="75">
        <f t="shared" si="1"/>
        <v>0</v>
      </c>
      <c r="P40" s="75">
        <f t="shared" si="1"/>
        <v>0</v>
      </c>
      <c r="Q40" s="75">
        <f t="shared" si="1"/>
        <v>0</v>
      </c>
      <c r="R40" s="75">
        <f t="shared" si="1"/>
        <v>0</v>
      </c>
      <c r="S40" s="75">
        <f t="shared" si="1"/>
        <v>0</v>
      </c>
      <c r="T40" s="75">
        <f t="shared" si="1"/>
        <v>0</v>
      </c>
      <c r="U40" s="75">
        <f t="shared" si="1"/>
        <v>0</v>
      </c>
      <c r="V40" s="75">
        <f t="shared" si="1"/>
        <v>0</v>
      </c>
      <c r="W40" s="75">
        <f t="shared" si="1"/>
        <v>0</v>
      </c>
      <c r="X40" s="75">
        <f t="shared" si="1"/>
        <v>0</v>
      </c>
      <c r="Y40" s="75">
        <f t="shared" si="1"/>
        <v>0</v>
      </c>
      <c r="Z40" s="75">
        <f t="shared" si="1"/>
        <v>0</v>
      </c>
    </row>
    <row r="41" spans="2:26" ht="14.45" customHeight="1" x14ac:dyDescent="0.25"/>
    <row r="42" spans="2:26" ht="14.45" customHeight="1" x14ac:dyDescent="0.25"/>
    <row r="43" spans="2:26" ht="14.45" customHeight="1" x14ac:dyDescent="0.25"/>
    <row r="44" spans="2:26" ht="14.45" customHeight="1" x14ac:dyDescent="0.25"/>
    <row r="45" spans="2:26" ht="14.45" customHeight="1" x14ac:dyDescent="0.25"/>
    <row r="46" spans="2:26" ht="14.45" customHeight="1" x14ac:dyDescent="0.25">
      <c r="B46" s="1" t="s">
        <v>140</v>
      </c>
    </row>
    <row r="47" spans="2:26" x14ac:dyDescent="0.25">
      <c r="B47" s="1" t="s">
        <v>141</v>
      </c>
    </row>
    <row r="48" spans="2:26" x14ac:dyDescent="0.25">
      <c r="B48" s="1" t="s">
        <v>142</v>
      </c>
    </row>
    <row r="49" spans="2:2" x14ac:dyDescent="0.25">
      <c r="B49" s="1" t="s">
        <v>143</v>
      </c>
    </row>
  </sheetData>
  <mergeCells count="7">
    <mergeCell ref="X6:Z6"/>
    <mergeCell ref="B4:D4"/>
    <mergeCell ref="E6:I6"/>
    <mergeCell ref="J6:O6"/>
    <mergeCell ref="P6:R6"/>
    <mergeCell ref="S6:W6"/>
    <mergeCell ref="I4:N4"/>
  </mergeCells>
  <conditionalFormatting sqref="E7:Z29">
    <cfRule type="cellIs" dxfId="24" priority="1" operator="equal">
      <formula>1</formula>
    </cfRule>
    <cfRule type="cellIs" dxfId="23" priority="2" operator="equal">
      <formula>0</formula>
    </cfRule>
  </conditionalFormatting>
  <pageMargins left="0.7" right="0.7" top="0.75" bottom="0.75" header="0.3" footer="0.3"/>
  <pageSetup scale="20" fitToWidth="2" orientation="landscape" horizontalDpi="4294967295" verticalDpi="4294967295"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E237E-8836-490C-A14E-5B770BA059A4}">
  <sheetPr codeName="Sheet7">
    <tabColor theme="5" tint="-0.499984740745262"/>
  </sheetPr>
  <dimension ref="B1:R111"/>
  <sheetViews>
    <sheetView workbookViewId="0">
      <selection activeCell="C4" sqref="C4:K7"/>
    </sheetView>
  </sheetViews>
  <sheetFormatPr defaultColWidth="9.140625" defaultRowHeight="15" x14ac:dyDescent="0.25"/>
  <cols>
    <col min="1" max="16384" width="9.140625" style="37"/>
  </cols>
  <sheetData>
    <row r="1" spans="2:11" ht="15" customHeight="1" x14ac:dyDescent="0.25"/>
    <row r="2" spans="2:11" ht="15" customHeight="1" x14ac:dyDescent="0.25">
      <c r="B2" s="113"/>
      <c r="C2" s="163" t="s">
        <v>50</v>
      </c>
      <c r="D2" s="163"/>
      <c r="E2" s="163"/>
      <c r="F2" s="163"/>
      <c r="G2" s="163"/>
      <c r="H2" s="163"/>
      <c r="I2" s="163"/>
      <c r="J2" s="163"/>
      <c r="K2" s="164"/>
    </row>
    <row r="3" spans="2:11" ht="18.75" x14ac:dyDescent="0.25">
      <c r="B3" s="39"/>
      <c r="C3" s="192"/>
      <c r="D3" s="192"/>
      <c r="E3" s="192"/>
      <c r="F3" s="192"/>
      <c r="G3" s="192"/>
      <c r="H3" s="192"/>
      <c r="I3" s="192"/>
      <c r="J3" s="192"/>
      <c r="K3" s="166"/>
    </row>
    <row r="4" spans="2:11" ht="15" customHeight="1" x14ac:dyDescent="0.25">
      <c r="B4" s="40"/>
      <c r="C4" s="193" t="s">
        <v>160</v>
      </c>
      <c r="D4" s="193"/>
      <c r="E4" s="193"/>
      <c r="F4" s="193"/>
      <c r="G4" s="193"/>
      <c r="H4" s="193"/>
      <c r="I4" s="193"/>
      <c r="J4" s="193"/>
      <c r="K4" s="168"/>
    </row>
    <row r="5" spans="2:11" ht="15.75" customHeight="1" x14ac:dyDescent="0.25">
      <c r="B5" s="41"/>
      <c r="C5" s="193"/>
      <c r="D5" s="193"/>
      <c r="E5" s="193"/>
      <c r="F5" s="193"/>
      <c r="G5" s="193"/>
      <c r="H5" s="193"/>
      <c r="I5" s="193"/>
      <c r="J5" s="193"/>
      <c r="K5" s="168"/>
    </row>
    <row r="6" spans="2:11" ht="28.5" x14ac:dyDescent="0.25">
      <c r="B6" s="41"/>
      <c r="C6" s="193"/>
      <c r="D6" s="193"/>
      <c r="E6" s="193"/>
      <c r="F6" s="193"/>
      <c r="G6" s="193"/>
      <c r="H6" s="193"/>
      <c r="I6" s="193"/>
      <c r="J6" s="193"/>
      <c r="K6" s="168"/>
    </row>
    <row r="7" spans="2:11" ht="14.45" customHeight="1" x14ac:dyDescent="0.25">
      <c r="B7" s="40"/>
      <c r="C7" s="193"/>
      <c r="D7" s="193"/>
      <c r="E7" s="193"/>
      <c r="F7" s="193"/>
      <c r="G7" s="193"/>
      <c r="H7" s="193"/>
      <c r="I7" s="193"/>
      <c r="J7" s="193"/>
      <c r="K7" s="168"/>
    </row>
    <row r="8" spans="2:11" x14ac:dyDescent="0.25">
      <c r="B8" s="42"/>
      <c r="C8" s="194" t="s">
        <v>84</v>
      </c>
      <c r="D8" s="194"/>
      <c r="E8" s="194"/>
      <c r="F8" s="194"/>
      <c r="G8" s="194"/>
      <c r="H8" s="194"/>
      <c r="I8" s="194"/>
      <c r="J8" s="194"/>
      <c r="K8" s="43"/>
    </row>
    <row r="9" spans="2:11" x14ac:dyDescent="0.25">
      <c r="B9" s="42"/>
      <c r="C9" s="194"/>
      <c r="D9" s="194"/>
      <c r="E9" s="194"/>
      <c r="F9" s="194"/>
      <c r="G9" s="194"/>
      <c r="H9" s="194"/>
      <c r="I9" s="194"/>
      <c r="J9" s="194"/>
      <c r="K9" s="43"/>
    </row>
    <row r="10" spans="2:11" x14ac:dyDescent="0.25">
      <c r="B10" s="42"/>
      <c r="C10" s="194"/>
      <c r="D10" s="194"/>
      <c r="E10" s="194"/>
      <c r="F10" s="194"/>
      <c r="G10" s="194"/>
      <c r="H10" s="194"/>
      <c r="I10" s="194"/>
      <c r="J10" s="194"/>
      <c r="K10" s="43"/>
    </row>
    <row r="11" spans="2:11" x14ac:dyDescent="0.25">
      <c r="B11" s="42"/>
      <c r="C11" s="194"/>
      <c r="D11" s="194"/>
      <c r="E11" s="194"/>
      <c r="F11" s="194"/>
      <c r="G11" s="194"/>
      <c r="H11" s="194"/>
      <c r="I11" s="194"/>
      <c r="J11" s="194"/>
      <c r="K11" s="43"/>
    </row>
    <row r="12" spans="2:11" ht="14.45" customHeight="1" x14ac:dyDescent="0.25">
      <c r="B12" s="42"/>
      <c r="K12" s="43"/>
    </row>
    <row r="13" spans="2:11" x14ac:dyDescent="0.25">
      <c r="B13" s="42"/>
      <c r="C13" s="195" t="s">
        <v>161</v>
      </c>
      <c r="D13" s="195"/>
      <c r="E13" s="195"/>
      <c r="F13" s="195"/>
      <c r="G13" s="195"/>
      <c r="H13" s="195"/>
      <c r="I13" s="195"/>
      <c r="J13" s="195"/>
      <c r="K13" s="43"/>
    </row>
    <row r="14" spans="2:11" x14ac:dyDescent="0.25">
      <c r="B14" s="42"/>
      <c r="C14" s="195"/>
      <c r="D14" s="195"/>
      <c r="E14" s="195"/>
      <c r="F14" s="195"/>
      <c r="G14" s="195"/>
      <c r="H14" s="195"/>
      <c r="I14" s="195"/>
      <c r="J14" s="195"/>
      <c r="K14" s="43"/>
    </row>
    <row r="15" spans="2:11" x14ac:dyDescent="0.25">
      <c r="B15" s="42"/>
      <c r="C15" s="195"/>
      <c r="D15" s="195"/>
      <c r="E15" s="195"/>
      <c r="F15" s="195"/>
      <c r="G15" s="195"/>
      <c r="H15" s="195"/>
      <c r="I15" s="195"/>
      <c r="J15" s="195"/>
      <c r="K15" s="43"/>
    </row>
    <row r="16" spans="2:11" x14ac:dyDescent="0.25">
      <c r="B16" s="42"/>
      <c r="C16" s="195"/>
      <c r="D16" s="195"/>
      <c r="E16" s="195"/>
      <c r="F16" s="195"/>
      <c r="G16" s="195"/>
      <c r="H16" s="195"/>
      <c r="I16" s="195"/>
      <c r="J16" s="195"/>
      <c r="K16" s="43"/>
    </row>
    <row r="17" spans="2:11" x14ac:dyDescent="0.25">
      <c r="B17" s="42"/>
      <c r="C17" s="195"/>
      <c r="D17" s="195"/>
      <c r="E17" s="195"/>
      <c r="F17" s="195"/>
      <c r="G17" s="195"/>
      <c r="H17" s="195"/>
      <c r="I17" s="195"/>
      <c r="J17" s="195"/>
      <c r="K17" s="43"/>
    </row>
    <row r="18" spans="2:11" ht="14.45" customHeight="1" x14ac:dyDescent="0.25">
      <c r="B18" s="42"/>
      <c r="K18" s="43"/>
    </row>
    <row r="19" spans="2:11" x14ac:dyDescent="0.25">
      <c r="B19" s="42"/>
      <c r="C19" s="196" t="s">
        <v>162</v>
      </c>
      <c r="D19" s="196"/>
      <c r="E19" s="196"/>
      <c r="F19" s="196"/>
      <c r="G19" s="196"/>
      <c r="H19" s="196"/>
      <c r="I19" s="196"/>
      <c r="J19" s="196"/>
      <c r="K19" s="43"/>
    </row>
    <row r="20" spans="2:11" x14ac:dyDescent="0.25">
      <c r="B20" s="42"/>
      <c r="C20" s="196"/>
      <c r="D20" s="196"/>
      <c r="E20" s="196"/>
      <c r="F20" s="196"/>
      <c r="G20" s="196"/>
      <c r="H20" s="196"/>
      <c r="I20" s="196"/>
      <c r="J20" s="196"/>
      <c r="K20" s="43"/>
    </row>
    <row r="21" spans="2:11" x14ac:dyDescent="0.25">
      <c r="B21" s="42"/>
      <c r="C21" s="196"/>
      <c r="D21" s="196"/>
      <c r="E21" s="196"/>
      <c r="F21" s="196"/>
      <c r="G21" s="196"/>
      <c r="H21" s="196"/>
      <c r="I21" s="196"/>
      <c r="J21" s="196"/>
      <c r="K21" s="43"/>
    </row>
    <row r="22" spans="2:11" x14ac:dyDescent="0.25">
      <c r="B22" s="42"/>
      <c r="K22" s="43"/>
    </row>
    <row r="23" spans="2:11" x14ac:dyDescent="0.25">
      <c r="B23" s="42"/>
      <c r="K23" s="43"/>
    </row>
    <row r="24" spans="2:11" x14ac:dyDescent="0.25">
      <c r="B24" s="42"/>
      <c r="K24" s="43"/>
    </row>
    <row r="25" spans="2:11" x14ac:dyDescent="0.25">
      <c r="B25" s="42"/>
      <c r="K25" s="43"/>
    </row>
    <row r="26" spans="2:11" x14ac:dyDescent="0.25">
      <c r="B26" s="42"/>
      <c r="K26" s="43"/>
    </row>
    <row r="27" spans="2:11" x14ac:dyDescent="0.25">
      <c r="B27" s="42"/>
      <c r="K27" s="43"/>
    </row>
    <row r="28" spans="2:11" x14ac:dyDescent="0.25">
      <c r="B28" s="45"/>
      <c r="C28" s="77" t="s">
        <v>86</v>
      </c>
      <c r="D28" s="78"/>
      <c r="E28" s="78"/>
      <c r="F28" s="78"/>
      <c r="G28" s="78"/>
      <c r="H28" s="78"/>
      <c r="I28" s="78"/>
      <c r="J28" s="78"/>
      <c r="K28" s="48"/>
    </row>
    <row r="29" spans="2:11" x14ac:dyDescent="0.25">
      <c r="B29" s="45"/>
      <c r="C29" s="78" t="s">
        <v>90</v>
      </c>
      <c r="D29" s="78"/>
      <c r="E29" s="78"/>
      <c r="F29" s="78"/>
      <c r="G29" s="78"/>
      <c r="H29" s="78"/>
      <c r="I29" s="78"/>
      <c r="J29" s="78"/>
      <c r="K29" s="48"/>
    </row>
    <row r="30" spans="2:11" x14ac:dyDescent="0.25">
      <c r="B30" s="45"/>
      <c r="C30" s="78" t="s">
        <v>163</v>
      </c>
      <c r="D30" s="78"/>
      <c r="E30" s="78"/>
      <c r="F30" s="78"/>
      <c r="G30" s="78"/>
      <c r="H30" s="78"/>
      <c r="I30" s="78"/>
      <c r="J30" s="78"/>
      <c r="K30" s="48"/>
    </row>
    <row r="31" spans="2:11" hidden="1" x14ac:dyDescent="0.25">
      <c r="B31" s="45"/>
      <c r="C31" s="79"/>
      <c r="D31" s="78"/>
      <c r="E31" s="78"/>
      <c r="F31" s="78"/>
      <c r="G31" s="78"/>
      <c r="H31" s="78"/>
      <c r="I31" s="78"/>
      <c r="J31" s="78"/>
      <c r="K31" s="48"/>
    </row>
    <row r="32" spans="2:11" x14ac:dyDescent="0.25">
      <c r="B32" s="45"/>
      <c r="C32" s="191" t="s">
        <v>292</v>
      </c>
      <c r="D32" s="191"/>
      <c r="E32" s="191"/>
      <c r="F32" s="191"/>
      <c r="G32" s="191"/>
      <c r="H32" s="191"/>
      <c r="I32" s="191"/>
      <c r="J32" s="191"/>
      <c r="K32" s="48"/>
    </row>
    <row r="33" spans="2:11" ht="31.5" customHeight="1" x14ac:dyDescent="0.25">
      <c r="B33" s="45"/>
      <c r="C33" s="191"/>
      <c r="D33" s="191"/>
      <c r="E33" s="191"/>
      <c r="F33" s="191"/>
      <c r="G33" s="191"/>
      <c r="H33" s="191"/>
      <c r="I33" s="191"/>
      <c r="J33" s="191"/>
      <c r="K33" s="48"/>
    </row>
    <row r="34" spans="2:11" x14ac:dyDescent="0.25">
      <c r="B34" s="42"/>
      <c r="K34" s="43"/>
    </row>
    <row r="35" spans="2:11" ht="14.45" customHeight="1" x14ac:dyDescent="0.25">
      <c r="B35" s="42"/>
      <c r="C35" s="80" t="s">
        <v>87</v>
      </c>
      <c r="K35" s="43"/>
    </row>
    <row r="36" spans="2:11" x14ac:dyDescent="0.25">
      <c r="B36" s="42"/>
      <c r="C36" s="197" t="s">
        <v>51</v>
      </c>
      <c r="D36" s="197"/>
      <c r="E36" s="197"/>
      <c r="F36" s="197"/>
      <c r="G36" s="197"/>
      <c r="H36" s="197"/>
      <c r="I36" s="197"/>
      <c r="J36" s="197"/>
      <c r="K36" s="43"/>
    </row>
    <row r="37" spans="2:11" x14ac:dyDescent="0.25">
      <c r="B37" s="42"/>
      <c r="C37" s="197"/>
      <c r="D37" s="197"/>
      <c r="E37" s="197"/>
      <c r="F37" s="197"/>
      <c r="G37" s="197"/>
      <c r="H37" s="197"/>
      <c r="I37" s="197"/>
      <c r="J37" s="197"/>
      <c r="K37" s="43"/>
    </row>
    <row r="38" spans="2:11" x14ac:dyDescent="0.25">
      <c r="B38" s="42"/>
      <c r="C38" s="197"/>
      <c r="D38" s="197"/>
      <c r="E38" s="197"/>
      <c r="F38" s="197"/>
      <c r="G38" s="197"/>
      <c r="H38" s="197"/>
      <c r="I38" s="197"/>
      <c r="J38" s="197"/>
      <c r="K38" s="43"/>
    </row>
    <row r="39" spans="2:11" x14ac:dyDescent="0.25">
      <c r="B39" s="42"/>
      <c r="K39" s="43"/>
    </row>
    <row r="40" spans="2:11" x14ac:dyDescent="0.25">
      <c r="B40" s="42"/>
      <c r="C40" s="80" t="s">
        <v>52</v>
      </c>
      <c r="D40" s="80"/>
      <c r="G40" s="80" t="s">
        <v>53</v>
      </c>
      <c r="K40" s="43"/>
    </row>
    <row r="41" spans="2:11" x14ac:dyDescent="0.25">
      <c r="B41" s="42"/>
      <c r="C41" s="37" t="s">
        <v>54</v>
      </c>
      <c r="G41" s="37" t="s">
        <v>55</v>
      </c>
      <c r="K41" s="43"/>
    </row>
    <row r="42" spans="2:11" x14ac:dyDescent="0.25">
      <c r="B42" s="42"/>
      <c r="C42" s="37" t="s">
        <v>56</v>
      </c>
      <c r="G42" s="37" t="s">
        <v>57</v>
      </c>
      <c r="K42" s="43"/>
    </row>
    <row r="43" spans="2:11" x14ac:dyDescent="0.25">
      <c r="B43" s="42"/>
      <c r="C43" s="37" t="s">
        <v>58</v>
      </c>
      <c r="G43" s="37" t="s">
        <v>59</v>
      </c>
      <c r="K43" s="43"/>
    </row>
    <row r="44" spans="2:11" x14ac:dyDescent="0.25">
      <c r="B44" s="42"/>
      <c r="C44" s="51" t="s">
        <v>60</v>
      </c>
      <c r="G44" s="51" t="s">
        <v>61</v>
      </c>
      <c r="K44" s="43"/>
    </row>
    <row r="45" spans="2:11" x14ac:dyDescent="0.25">
      <c r="B45" s="42"/>
      <c r="C45" s="37" t="s">
        <v>62</v>
      </c>
      <c r="G45" s="37" t="s">
        <v>63</v>
      </c>
      <c r="K45" s="43"/>
    </row>
    <row r="46" spans="2:11" x14ac:dyDescent="0.25">
      <c r="B46" s="52"/>
      <c r="C46" s="53"/>
      <c r="D46" s="53"/>
      <c r="E46" s="53"/>
      <c r="F46" s="53"/>
      <c r="G46" s="53"/>
      <c r="H46" s="53"/>
      <c r="I46" s="53"/>
      <c r="J46" s="53"/>
      <c r="K46" s="54"/>
    </row>
    <row r="50" spans="2:18" ht="36" x14ac:dyDescent="0.25">
      <c r="B50" s="200" t="s">
        <v>111</v>
      </c>
      <c r="C50" s="200"/>
      <c r="D50" s="200"/>
      <c r="E50" s="200"/>
      <c r="F50" s="200"/>
      <c r="G50" s="200"/>
      <c r="H50" s="200"/>
      <c r="I50" s="200"/>
      <c r="J50" s="200"/>
      <c r="K50" s="200"/>
      <c r="L50" s="200"/>
    </row>
    <row r="51" spans="2:18" ht="47.25" customHeight="1" x14ac:dyDescent="0.25">
      <c r="B51" s="201" t="s">
        <v>164</v>
      </c>
      <c r="C51" s="201"/>
      <c r="D51" s="201"/>
      <c r="E51" s="201"/>
      <c r="F51" s="201"/>
      <c r="G51" s="201"/>
      <c r="H51" s="201"/>
      <c r="I51" s="201"/>
      <c r="J51" s="201"/>
      <c r="K51" s="201"/>
      <c r="L51" s="201"/>
    </row>
    <row r="52" spans="2:18" ht="15.75" thickBot="1" x14ac:dyDescent="0.3"/>
    <row r="53" spans="2:18" ht="19.5" thickBot="1" x14ac:dyDescent="0.35">
      <c r="B53" s="227" t="s">
        <v>118</v>
      </c>
      <c r="C53" s="227"/>
      <c r="D53" s="227"/>
      <c r="E53" s="227"/>
      <c r="F53" s="227"/>
      <c r="G53" s="227"/>
      <c r="H53" s="227"/>
      <c r="I53" s="227"/>
      <c r="J53" s="227"/>
      <c r="K53" s="198" t="s">
        <v>48</v>
      </c>
      <c r="L53" s="198"/>
      <c r="N53" s="55" t="s">
        <v>47</v>
      </c>
      <c r="O53" s="55" t="s">
        <v>47</v>
      </c>
      <c r="P53" s="55" t="s">
        <v>47</v>
      </c>
      <c r="Q53" s="55" t="s">
        <v>47</v>
      </c>
      <c r="R53" s="55"/>
    </row>
    <row r="54" spans="2:18" ht="15.75" hidden="1" thickBot="1" x14ac:dyDescent="0.3">
      <c r="B54" s="226" t="str">
        <f>'Stakeholders Matrix'!C6</f>
        <v>Work zone expected area of impact?</v>
      </c>
      <c r="C54" s="226"/>
      <c r="D54" s="226"/>
      <c r="E54" s="226"/>
      <c r="F54" s="226"/>
      <c r="G54" s="226"/>
      <c r="H54" s="226"/>
      <c r="I54" s="226"/>
      <c r="J54" s="226"/>
      <c r="K54" s="228"/>
      <c r="L54" s="228"/>
      <c r="N54" s="55" t="s">
        <v>43</v>
      </c>
      <c r="O54" s="55" t="s">
        <v>193</v>
      </c>
      <c r="P54" s="55" t="s">
        <v>196</v>
      </c>
      <c r="Q54" s="55" t="s">
        <v>201</v>
      </c>
      <c r="R54" s="55"/>
    </row>
    <row r="55" spans="2:18" ht="15.75" thickBot="1" x14ac:dyDescent="0.3">
      <c r="B55" s="226" t="str">
        <f>'Stakeholders Matrix'!C7</f>
        <v>What is the functional classification of the associated roadway(s)?</v>
      </c>
      <c r="C55" s="226"/>
      <c r="D55" s="226"/>
      <c r="E55" s="226"/>
      <c r="F55" s="226"/>
      <c r="G55" s="226"/>
      <c r="H55" s="226"/>
      <c r="I55" s="226"/>
      <c r="J55" s="226"/>
      <c r="K55" s="202" t="s">
        <v>47</v>
      </c>
      <c r="L55" s="202"/>
      <c r="N55" s="55" t="s">
        <v>46</v>
      </c>
      <c r="O55" s="55" t="s">
        <v>194</v>
      </c>
      <c r="P55" s="55" t="s">
        <v>197</v>
      </c>
      <c r="Q55" s="55" t="s">
        <v>202</v>
      </c>
      <c r="R55" s="55"/>
    </row>
    <row r="56" spans="2:18" ht="15.75" thickBot="1" x14ac:dyDescent="0.3">
      <c r="B56" s="226" t="str">
        <f>'Stakeholders Matrix'!C10</f>
        <v>Will the work zone require lane closures?</v>
      </c>
      <c r="C56" s="226"/>
      <c r="D56" s="226"/>
      <c r="E56" s="226"/>
      <c r="F56" s="226"/>
      <c r="G56" s="226"/>
      <c r="H56" s="226"/>
      <c r="I56" s="226"/>
      <c r="J56" s="226"/>
      <c r="K56" s="202" t="s">
        <v>47</v>
      </c>
      <c r="L56" s="202"/>
      <c r="N56" s="55"/>
      <c r="O56" s="55" t="s">
        <v>195</v>
      </c>
      <c r="P56" s="55" t="s">
        <v>198</v>
      </c>
      <c r="Q56" s="55" t="s">
        <v>203</v>
      </c>
      <c r="R56" s="55"/>
    </row>
    <row r="57" spans="2:18" ht="15.75" thickBot="1" x14ac:dyDescent="0.3">
      <c r="B57" s="226" t="str">
        <f>'Stakeholders Matrix'!C11</f>
        <v>Is the associated roadway(s) maintained by the state, county, or city/town?</v>
      </c>
      <c r="C57" s="226"/>
      <c r="D57" s="226"/>
      <c r="E57" s="226"/>
      <c r="F57" s="226"/>
      <c r="G57" s="226"/>
      <c r="H57" s="226"/>
      <c r="I57" s="226"/>
      <c r="J57" s="226"/>
      <c r="K57" s="202" t="s">
        <v>47</v>
      </c>
      <c r="L57" s="202"/>
      <c r="N57" s="55"/>
      <c r="O57" s="55"/>
      <c r="P57" s="55" t="s">
        <v>199</v>
      </c>
      <c r="Q57" s="55"/>
      <c r="R57" s="55"/>
    </row>
    <row r="58" spans="2:18" ht="15.75" customHeight="1" thickBot="1" x14ac:dyDescent="0.3">
      <c r="B58" s="226" t="str">
        <f>'Stakeholders Matrix'!C15</f>
        <v>What agency is responsible for responding to incidents/patrolling the roadway?</v>
      </c>
      <c r="C58" s="226"/>
      <c r="D58" s="226"/>
      <c r="E58" s="226"/>
      <c r="F58" s="226"/>
      <c r="G58" s="226"/>
      <c r="H58" s="226"/>
      <c r="I58" s="226"/>
      <c r="J58" s="226"/>
      <c r="K58" s="202" t="s">
        <v>47</v>
      </c>
      <c r="L58" s="202"/>
    </row>
    <row r="59" spans="2:18" ht="15.75" customHeight="1" thickBot="1" x14ac:dyDescent="0.3">
      <c r="B59" s="226" t="str">
        <f>'Stakeholders Matrix'!C18</f>
        <v>Are there schools or universities in the area?</v>
      </c>
      <c r="C59" s="226"/>
      <c r="D59" s="226"/>
      <c r="E59" s="226"/>
      <c r="F59" s="226"/>
      <c r="G59" s="226"/>
      <c r="H59" s="226"/>
      <c r="I59" s="226"/>
      <c r="J59" s="226"/>
      <c r="K59" s="202" t="s">
        <v>47</v>
      </c>
      <c r="L59" s="202"/>
    </row>
    <row r="60" spans="2:18" ht="15.75" thickBot="1" x14ac:dyDescent="0.3">
      <c r="B60" s="226" t="str">
        <f>'Stakeholders Matrix'!C19</f>
        <v>Do you expect a high percentage of tourists or unfamiliar drivers using the routes?</v>
      </c>
      <c r="C60" s="226"/>
      <c r="D60" s="226"/>
      <c r="E60" s="226"/>
      <c r="F60" s="226"/>
      <c r="G60" s="226"/>
      <c r="H60" s="226"/>
      <c r="I60" s="226"/>
      <c r="J60" s="226"/>
      <c r="K60" s="202" t="s">
        <v>47</v>
      </c>
      <c r="L60" s="202"/>
    </row>
    <row r="61" spans="2:18" ht="15.75" thickBot="1" x14ac:dyDescent="0.3">
      <c r="B61" s="226" t="str">
        <f>'Stakeholders Matrix'!C20</f>
        <v>Is there a special event venue nearby?</v>
      </c>
      <c r="C61" s="226"/>
      <c r="D61" s="226"/>
      <c r="E61" s="226"/>
      <c r="F61" s="226"/>
      <c r="G61" s="226"/>
      <c r="H61" s="226"/>
      <c r="I61" s="226"/>
      <c r="J61" s="226"/>
      <c r="K61" s="202" t="s">
        <v>47</v>
      </c>
      <c r="L61" s="202"/>
    </row>
    <row r="62" spans="2:18" ht="15.75" thickBot="1" x14ac:dyDescent="0.3">
      <c r="B62" s="226" t="str">
        <f>'Stakeholders Matrix'!C21</f>
        <v>Does a transit line run parallel to the work zone?</v>
      </c>
      <c r="C62" s="226"/>
      <c r="D62" s="226"/>
      <c r="E62" s="226"/>
      <c r="F62" s="226"/>
      <c r="G62" s="226"/>
      <c r="H62" s="226"/>
      <c r="I62" s="226"/>
      <c r="J62" s="226"/>
      <c r="K62" s="202" t="s">
        <v>47</v>
      </c>
      <c r="L62" s="202"/>
    </row>
    <row r="63" spans="2:18" ht="15.75" customHeight="1" thickBot="1" x14ac:dyDescent="0.3">
      <c r="B63" s="226" t="str">
        <f>'Stakeholders Matrix'!C22</f>
        <v>Are there other work zones in the area?</v>
      </c>
      <c r="C63" s="226"/>
      <c r="D63" s="226"/>
      <c r="E63" s="226"/>
      <c r="F63" s="226"/>
      <c r="G63" s="226"/>
      <c r="H63" s="226"/>
      <c r="I63" s="226"/>
      <c r="J63" s="226"/>
      <c r="K63" s="202" t="s">
        <v>47</v>
      </c>
      <c r="L63" s="202"/>
    </row>
    <row r="64" spans="2:18" ht="15.75" thickBot="1" x14ac:dyDescent="0.3">
      <c r="B64" s="226" t="str">
        <f>'Stakeholders Matrix'!C23</f>
        <v>Is the work zone located on a priority route for an emergency response system?</v>
      </c>
      <c r="C64" s="226"/>
      <c r="D64" s="226"/>
      <c r="E64" s="226"/>
      <c r="F64" s="226"/>
      <c r="G64" s="226"/>
      <c r="H64" s="226"/>
      <c r="I64" s="226"/>
      <c r="J64" s="226"/>
      <c r="K64" s="202" t="s">
        <v>47</v>
      </c>
      <c r="L64" s="202"/>
    </row>
    <row r="65" spans="2:13" ht="15.75" thickBot="1" x14ac:dyDescent="0.3">
      <c r="B65" s="226" t="str">
        <f>'Stakeholders Matrix'!C24</f>
        <v>Are there local businesses/shopping centers located near the work zone?</v>
      </c>
      <c r="C65" s="226"/>
      <c r="D65" s="226"/>
      <c r="E65" s="226"/>
      <c r="F65" s="226"/>
      <c r="G65" s="226"/>
      <c r="H65" s="226"/>
      <c r="I65" s="226"/>
      <c r="J65" s="226"/>
      <c r="K65" s="202" t="s">
        <v>47</v>
      </c>
      <c r="L65" s="202"/>
    </row>
    <row r="66" spans="2:13" ht="15.75" customHeight="1" thickBot="1" x14ac:dyDescent="0.3">
      <c r="B66" s="226" t="str">
        <f>'Stakeholders Matrix'!C25</f>
        <v>Will there be restrictions to side streets?</v>
      </c>
      <c r="C66" s="226"/>
      <c r="D66" s="226"/>
      <c r="E66" s="226"/>
      <c r="F66" s="226"/>
      <c r="G66" s="226"/>
      <c r="H66" s="226"/>
      <c r="I66" s="226"/>
      <c r="J66" s="226"/>
      <c r="K66" s="202" t="s">
        <v>47</v>
      </c>
      <c r="L66" s="202"/>
    </row>
    <row r="67" spans="2:13" ht="15.75" customHeight="1" thickBot="1" x14ac:dyDescent="0.3">
      <c r="B67" s="226" t="str">
        <f>'Stakeholders Matrix'!C26</f>
        <v>Is this a freight or shipping corridor?</v>
      </c>
      <c r="C67" s="226"/>
      <c r="D67" s="226"/>
      <c r="E67" s="226"/>
      <c r="F67" s="226"/>
      <c r="G67" s="226"/>
      <c r="H67" s="226"/>
      <c r="I67" s="226"/>
      <c r="J67" s="226"/>
      <c r="K67" s="202" t="s">
        <v>47</v>
      </c>
      <c r="L67" s="202"/>
    </row>
    <row r="68" spans="2:13" ht="15.75" hidden="1" customHeight="1" thickBot="1" x14ac:dyDescent="0.3">
      <c r="B68" s="226" t="e">
        <f>'Stakeholders Matrix'!#REF!</f>
        <v>#REF!</v>
      </c>
      <c r="C68" s="226"/>
      <c r="D68" s="226"/>
      <c r="E68" s="226"/>
      <c r="F68" s="226"/>
      <c r="G68" s="226"/>
      <c r="H68" s="226"/>
      <c r="I68" s="226"/>
      <c r="J68" s="226"/>
      <c r="K68" s="229"/>
      <c r="L68" s="229"/>
    </row>
    <row r="69" spans="2:13" ht="15.75" hidden="1" customHeight="1" thickBot="1" x14ac:dyDescent="0.3">
      <c r="B69" s="226" t="e">
        <f>'Stakeholders Matrix'!#REF!</f>
        <v>#REF!</v>
      </c>
      <c r="C69" s="226"/>
      <c r="D69" s="226"/>
      <c r="E69" s="226"/>
      <c r="F69" s="226"/>
      <c r="G69" s="226"/>
      <c r="H69" s="226"/>
      <c r="I69" s="226"/>
      <c r="J69" s="226"/>
      <c r="K69" s="229"/>
      <c r="L69" s="229"/>
    </row>
    <row r="70" spans="2:13" ht="15.75" customHeight="1" thickBot="1" x14ac:dyDescent="0.3">
      <c r="B70" s="226" t="str">
        <f>'Stakeholders Matrix'!C27</f>
        <v>Are there ped/bike routes impacted by the work zone?</v>
      </c>
      <c r="C70" s="226"/>
      <c r="D70" s="226"/>
      <c r="E70" s="226"/>
      <c r="F70" s="226"/>
      <c r="G70" s="226"/>
      <c r="H70" s="226"/>
      <c r="I70" s="226"/>
      <c r="J70" s="226"/>
      <c r="K70" s="202" t="s">
        <v>47</v>
      </c>
      <c r="L70" s="202"/>
    </row>
    <row r="71" spans="2:13" ht="15.75" customHeight="1" thickBot="1" x14ac:dyDescent="0.3">
      <c r="B71" s="226" t="str">
        <f>'Stakeholders Matrix'!C28</f>
        <v>Is the work zone on a roadway that is part of a signalized / coordinated system?</v>
      </c>
      <c r="C71" s="226"/>
      <c r="D71" s="226"/>
      <c r="E71" s="226"/>
      <c r="F71" s="226"/>
      <c r="G71" s="226"/>
      <c r="H71" s="226"/>
      <c r="I71" s="226"/>
      <c r="J71" s="226"/>
      <c r="K71" s="202" t="s">
        <v>47</v>
      </c>
      <c r="L71" s="202"/>
    </row>
    <row r="72" spans="2:13" ht="15.75" customHeight="1" thickBot="1" x14ac:dyDescent="0.3">
      <c r="B72" s="226" t="str">
        <f>'Stakeholders Matrix'!C29</f>
        <v>Is there a concern the work zone will cause unwanted diversion onto local roads?</v>
      </c>
      <c r="C72" s="226"/>
      <c r="D72" s="226"/>
      <c r="E72" s="226"/>
      <c r="F72" s="226"/>
      <c r="G72" s="226"/>
      <c r="H72" s="226"/>
      <c r="I72" s="226"/>
      <c r="J72" s="226"/>
      <c r="K72" s="202" t="s">
        <v>47</v>
      </c>
      <c r="L72" s="202"/>
    </row>
    <row r="73" spans="2:13" ht="15.75" customHeight="1" thickBot="1" x14ac:dyDescent="0.3">
      <c r="B73" s="226" t="str">
        <f>'Stakeholders Matrix'!C30</f>
        <v>Is there a mobility goal?</v>
      </c>
      <c r="C73" s="226"/>
      <c r="D73" s="226"/>
      <c r="E73" s="226"/>
      <c r="F73" s="226"/>
      <c r="G73" s="226"/>
      <c r="H73" s="226"/>
      <c r="I73" s="226"/>
      <c r="J73" s="226"/>
      <c r="K73" s="202" t="s">
        <v>47</v>
      </c>
      <c r="L73" s="202"/>
    </row>
    <row r="74" spans="2:13" ht="15.75" customHeight="1" thickBot="1" x14ac:dyDescent="0.3">
      <c r="B74" s="226" t="str">
        <f>'Stakeholders Matrix'!C31</f>
        <v>Is there a productivity goal?</v>
      </c>
      <c r="C74" s="226"/>
      <c r="D74" s="226"/>
      <c r="E74" s="226"/>
      <c r="F74" s="226"/>
      <c r="G74" s="226"/>
      <c r="H74" s="226"/>
      <c r="I74" s="226"/>
      <c r="J74" s="226"/>
      <c r="K74" s="202" t="s">
        <v>47</v>
      </c>
      <c r="L74" s="202"/>
    </row>
    <row r="75" spans="2:13" ht="15.75" customHeight="1" thickBot="1" x14ac:dyDescent="0.3">
      <c r="B75" s="226" t="str">
        <f>'Stakeholders Matrix'!C32</f>
        <v>Is there a regulatory goal?</v>
      </c>
      <c r="C75" s="226"/>
      <c r="D75" s="226"/>
      <c r="E75" s="226"/>
      <c r="F75" s="226"/>
      <c r="G75" s="226"/>
      <c r="H75" s="226"/>
      <c r="I75" s="226"/>
      <c r="J75" s="226"/>
      <c r="K75" s="202" t="s">
        <v>47</v>
      </c>
      <c r="L75" s="202"/>
    </row>
    <row r="76" spans="2:13" ht="15.75" customHeight="1" thickBot="1" x14ac:dyDescent="0.3">
      <c r="B76" s="226" t="str">
        <f>'Stakeholders Matrix'!C33</f>
        <v>Is there a safety goal?</v>
      </c>
      <c r="C76" s="226"/>
      <c r="D76" s="226"/>
      <c r="E76" s="226"/>
      <c r="F76" s="226"/>
      <c r="G76" s="226"/>
      <c r="H76" s="226"/>
      <c r="I76" s="226"/>
      <c r="J76" s="226"/>
      <c r="K76" s="202" t="s">
        <v>47</v>
      </c>
      <c r="L76" s="202"/>
    </row>
    <row r="77" spans="2:13" ht="15.75" customHeight="1" thickBot="1" x14ac:dyDescent="0.3">
      <c r="B77" s="226" t="str">
        <f>'Stakeholders Matrix'!C34</f>
        <v>Is there a traveler information goal?</v>
      </c>
      <c r="C77" s="226"/>
      <c r="D77" s="226"/>
      <c r="E77" s="226"/>
      <c r="F77" s="226"/>
      <c r="G77" s="226"/>
      <c r="H77" s="226"/>
      <c r="I77" s="226"/>
      <c r="J77" s="226"/>
      <c r="K77" s="202" t="s">
        <v>47</v>
      </c>
      <c r="L77" s="202"/>
    </row>
    <row r="79" spans="2:13" ht="36" x14ac:dyDescent="0.25">
      <c r="B79" s="233" t="s">
        <v>213</v>
      </c>
      <c r="C79" s="233"/>
      <c r="D79" s="233"/>
      <c r="E79" s="233"/>
      <c r="F79" s="233"/>
      <c r="G79" s="233"/>
      <c r="H79" s="233"/>
      <c r="I79" s="233"/>
      <c r="J79" s="233"/>
      <c r="K79" s="233"/>
      <c r="L79" s="233"/>
      <c r="M79" s="93"/>
    </row>
    <row r="80" spans="2:13" ht="18.75" customHeight="1" x14ac:dyDescent="0.25">
      <c r="B80" s="221" t="s">
        <v>210</v>
      </c>
      <c r="C80" s="221"/>
      <c r="D80" s="221"/>
      <c r="E80" s="221"/>
      <c r="F80" s="221"/>
      <c r="G80" s="221"/>
      <c r="H80" s="221"/>
      <c r="I80" s="221"/>
      <c r="J80" s="221"/>
      <c r="K80" s="221"/>
      <c r="L80" s="221"/>
    </row>
    <row r="81" spans="2:12" ht="38.25" customHeight="1" x14ac:dyDescent="0.25">
      <c r="B81" s="221"/>
      <c r="C81" s="221"/>
      <c r="D81" s="221"/>
      <c r="E81" s="221"/>
      <c r="F81" s="221"/>
      <c r="G81" s="221"/>
      <c r="H81" s="221"/>
      <c r="I81" s="221"/>
      <c r="J81" s="221"/>
      <c r="K81" s="221"/>
      <c r="L81" s="221"/>
    </row>
    <row r="82" spans="2:12" ht="15.75" thickBot="1" x14ac:dyDescent="0.3">
      <c r="D82" s="81"/>
    </row>
    <row r="83" spans="2:12" ht="19.5" thickBot="1" x14ac:dyDescent="0.3">
      <c r="B83" s="184" t="s">
        <v>211</v>
      </c>
      <c r="C83" s="185"/>
      <c r="D83" s="185"/>
      <c r="E83" s="185"/>
      <c r="F83" s="185"/>
      <c r="G83" s="185"/>
      <c r="H83" s="185"/>
      <c r="I83" s="185"/>
      <c r="J83" s="185"/>
      <c r="K83" s="186"/>
      <c r="L83" s="84" t="s">
        <v>49</v>
      </c>
    </row>
    <row r="84" spans="2:12" ht="15.75" thickBot="1" x14ac:dyDescent="0.3">
      <c r="B84" s="230"/>
      <c r="C84" s="231"/>
      <c r="D84" s="231"/>
      <c r="E84" s="231"/>
      <c r="F84" s="231"/>
      <c r="G84" s="231"/>
      <c r="H84" s="231"/>
      <c r="I84" s="231"/>
      <c r="J84" s="231"/>
      <c r="K84" s="232"/>
      <c r="L84" s="85"/>
    </row>
    <row r="85" spans="2:12" ht="15.75" thickBot="1" x14ac:dyDescent="0.3">
      <c r="B85" s="230"/>
      <c r="C85" s="231"/>
      <c r="D85" s="231"/>
      <c r="E85" s="231"/>
      <c r="F85" s="231"/>
      <c r="G85" s="231"/>
      <c r="H85" s="231"/>
      <c r="I85" s="231"/>
      <c r="J85" s="231"/>
      <c r="K85" s="232"/>
      <c r="L85" s="86"/>
    </row>
    <row r="86" spans="2:12" ht="15.75" thickBot="1" x14ac:dyDescent="0.3">
      <c r="B86" s="230"/>
      <c r="C86" s="231"/>
      <c r="D86" s="231"/>
      <c r="E86" s="231"/>
      <c r="F86" s="231"/>
      <c r="G86" s="231"/>
      <c r="H86" s="231"/>
      <c r="I86" s="231"/>
      <c r="J86" s="231"/>
      <c r="K86" s="232"/>
      <c r="L86" s="86"/>
    </row>
    <row r="87" spans="2:12" ht="15.75" thickBot="1" x14ac:dyDescent="0.3">
      <c r="B87" s="230"/>
      <c r="C87" s="231"/>
      <c r="D87" s="231"/>
      <c r="E87" s="231"/>
      <c r="F87" s="231"/>
      <c r="G87" s="231"/>
      <c r="H87" s="231"/>
      <c r="I87" s="231"/>
      <c r="J87" s="231"/>
      <c r="K87" s="232"/>
      <c r="L87" s="86"/>
    </row>
    <row r="88" spans="2:12" ht="15.75" thickBot="1" x14ac:dyDescent="0.3">
      <c r="B88" s="230"/>
      <c r="C88" s="231"/>
      <c r="D88" s="231"/>
      <c r="E88" s="231"/>
      <c r="F88" s="231"/>
      <c r="G88" s="231"/>
      <c r="H88" s="231"/>
      <c r="I88" s="231"/>
      <c r="J88" s="231"/>
      <c r="K88" s="232"/>
      <c r="L88" s="86"/>
    </row>
    <row r="89" spans="2:12" ht="15.75" thickBot="1" x14ac:dyDescent="0.3">
      <c r="B89" s="230"/>
      <c r="C89" s="231"/>
      <c r="D89" s="231"/>
      <c r="E89" s="231"/>
      <c r="F89" s="231"/>
      <c r="G89" s="231"/>
      <c r="H89" s="231"/>
      <c r="I89" s="231"/>
      <c r="J89" s="231"/>
      <c r="K89" s="232"/>
      <c r="L89" s="86"/>
    </row>
    <row r="90" spans="2:12" ht="15.75" thickBot="1" x14ac:dyDescent="0.3">
      <c r="B90" s="230"/>
      <c r="C90" s="231"/>
      <c r="D90" s="231"/>
      <c r="E90" s="231"/>
      <c r="F90" s="231"/>
      <c r="G90" s="231"/>
      <c r="H90" s="231"/>
      <c r="I90" s="231"/>
      <c r="J90" s="231"/>
      <c r="K90" s="232"/>
      <c r="L90" s="86"/>
    </row>
    <row r="91" spans="2:12" ht="15.75" thickBot="1" x14ac:dyDescent="0.3">
      <c r="B91" s="230"/>
      <c r="C91" s="231"/>
      <c r="D91" s="231"/>
      <c r="E91" s="231"/>
      <c r="F91" s="231"/>
      <c r="G91" s="231"/>
      <c r="H91" s="231"/>
      <c r="I91" s="231"/>
      <c r="J91" s="231"/>
      <c r="K91" s="232"/>
      <c r="L91" s="86"/>
    </row>
    <row r="92" spans="2:12" ht="15.75" thickBot="1" x14ac:dyDescent="0.3">
      <c r="B92" s="230"/>
      <c r="C92" s="231"/>
      <c r="D92" s="231"/>
      <c r="E92" s="231"/>
      <c r="F92" s="231"/>
      <c r="G92" s="231"/>
      <c r="H92" s="231"/>
      <c r="I92" s="231"/>
      <c r="J92" s="231"/>
      <c r="K92" s="232"/>
      <c r="L92" s="86"/>
    </row>
    <row r="93" spans="2:12" ht="15.75" thickBot="1" x14ac:dyDescent="0.3">
      <c r="B93" s="230"/>
      <c r="C93" s="231"/>
      <c r="D93" s="231"/>
      <c r="E93" s="231"/>
      <c r="F93" s="231"/>
      <c r="G93" s="231"/>
      <c r="H93" s="231"/>
      <c r="I93" s="231"/>
      <c r="J93" s="231"/>
      <c r="K93" s="232"/>
      <c r="L93" s="86"/>
    </row>
    <row r="94" spans="2:12" ht="15.75" thickBot="1" x14ac:dyDescent="0.3">
      <c r="B94" s="230"/>
      <c r="C94" s="231"/>
      <c r="D94" s="231"/>
      <c r="E94" s="231"/>
      <c r="F94" s="231"/>
      <c r="G94" s="231"/>
      <c r="H94" s="231"/>
      <c r="I94" s="231"/>
      <c r="J94" s="231"/>
      <c r="K94" s="232"/>
      <c r="L94" s="86"/>
    </row>
    <row r="95" spans="2:12" ht="15.75" thickBot="1" x14ac:dyDescent="0.3">
      <c r="B95" s="230"/>
      <c r="C95" s="231"/>
      <c r="D95" s="231"/>
      <c r="E95" s="231"/>
      <c r="F95" s="231"/>
      <c r="G95" s="231"/>
      <c r="H95" s="231"/>
      <c r="I95" s="231"/>
      <c r="J95" s="231"/>
      <c r="K95" s="232"/>
      <c r="L95" s="86"/>
    </row>
    <row r="96" spans="2:12" ht="15.75" thickBot="1" x14ac:dyDescent="0.3">
      <c r="B96" s="230"/>
      <c r="C96" s="231"/>
      <c r="D96" s="231"/>
      <c r="E96" s="231"/>
      <c r="F96" s="231"/>
      <c r="G96" s="231"/>
      <c r="H96" s="231"/>
      <c r="I96" s="231"/>
      <c r="J96" s="231"/>
      <c r="K96" s="232"/>
      <c r="L96" s="86"/>
    </row>
    <row r="97" spans="2:12" ht="15.75" thickBot="1" x14ac:dyDescent="0.3">
      <c r="B97" s="230"/>
      <c r="C97" s="231"/>
      <c r="D97" s="231"/>
      <c r="E97" s="231"/>
      <c r="F97" s="231"/>
      <c r="G97" s="231"/>
      <c r="H97" s="231"/>
      <c r="I97" s="231"/>
      <c r="J97" s="231"/>
      <c r="K97" s="232"/>
      <c r="L97" s="86"/>
    </row>
    <row r="98" spans="2:12" ht="15.75" thickBot="1" x14ac:dyDescent="0.3">
      <c r="B98" s="230"/>
      <c r="C98" s="231"/>
      <c r="D98" s="231"/>
      <c r="E98" s="231"/>
      <c r="F98" s="231"/>
      <c r="G98" s="231"/>
      <c r="H98" s="231"/>
      <c r="I98" s="231"/>
      <c r="J98" s="231"/>
      <c r="K98" s="232"/>
      <c r="L98" s="86"/>
    </row>
    <row r="99" spans="2:12" ht="15.75" thickBot="1" x14ac:dyDescent="0.3">
      <c r="B99" s="230"/>
      <c r="C99" s="231"/>
      <c r="D99" s="231"/>
      <c r="E99" s="231"/>
      <c r="F99" s="231"/>
      <c r="G99" s="231"/>
      <c r="H99" s="231"/>
      <c r="I99" s="231"/>
      <c r="J99" s="231"/>
      <c r="K99" s="232"/>
      <c r="L99" s="86"/>
    </row>
    <row r="100" spans="2:12" ht="15.75" thickBot="1" x14ac:dyDescent="0.3">
      <c r="B100" s="230"/>
      <c r="C100" s="231"/>
      <c r="D100" s="231"/>
      <c r="E100" s="231"/>
      <c r="F100" s="231"/>
      <c r="G100" s="231"/>
      <c r="H100" s="231"/>
      <c r="I100" s="231"/>
      <c r="J100" s="231"/>
      <c r="K100" s="232"/>
      <c r="L100" s="86"/>
    </row>
    <row r="101" spans="2:12" ht="15.75" thickBot="1" x14ac:dyDescent="0.3">
      <c r="B101" s="230"/>
      <c r="C101" s="231"/>
      <c r="D101" s="231"/>
      <c r="E101" s="231"/>
      <c r="F101" s="231"/>
      <c r="G101" s="231"/>
      <c r="H101" s="231"/>
      <c r="I101" s="231"/>
      <c r="J101" s="231"/>
      <c r="K101" s="232"/>
      <c r="L101" s="86"/>
    </row>
    <row r="102" spans="2:12" ht="15.75" thickBot="1" x14ac:dyDescent="0.3">
      <c r="B102" s="230"/>
      <c r="C102" s="231"/>
      <c r="D102" s="231"/>
      <c r="E102" s="231"/>
      <c r="F102" s="231"/>
      <c r="G102" s="231"/>
      <c r="H102" s="231"/>
      <c r="I102" s="231"/>
      <c r="J102" s="231"/>
      <c r="K102" s="232"/>
      <c r="L102" s="86"/>
    </row>
    <row r="103" spans="2:12" ht="15.75" thickBot="1" x14ac:dyDescent="0.3">
      <c r="B103" s="230"/>
      <c r="C103" s="231"/>
      <c r="D103" s="231"/>
      <c r="E103" s="231"/>
      <c r="F103" s="231"/>
      <c r="G103" s="231"/>
      <c r="H103" s="231"/>
      <c r="I103" s="231"/>
      <c r="J103" s="231"/>
      <c r="K103" s="232"/>
      <c r="L103" s="85"/>
    </row>
    <row r="104" spans="2:12" ht="15.75" thickBot="1" x14ac:dyDescent="0.3">
      <c r="B104" s="230"/>
      <c r="C104" s="231"/>
      <c r="D104" s="231"/>
      <c r="E104" s="231"/>
      <c r="F104" s="231"/>
      <c r="G104" s="231"/>
      <c r="H104" s="231"/>
      <c r="I104" s="231"/>
      <c r="J104" s="231"/>
      <c r="K104" s="232"/>
      <c r="L104" s="85"/>
    </row>
    <row r="105" spans="2:12" ht="15.75" thickBot="1" x14ac:dyDescent="0.3">
      <c r="B105" s="230"/>
      <c r="C105" s="231"/>
      <c r="D105" s="231"/>
      <c r="E105" s="231"/>
      <c r="F105" s="231"/>
      <c r="G105" s="231"/>
      <c r="H105" s="231"/>
      <c r="I105" s="231"/>
      <c r="J105" s="231"/>
      <c r="K105" s="232"/>
      <c r="L105" s="86"/>
    </row>
    <row r="106" spans="2:12" ht="15.75" thickBot="1" x14ac:dyDescent="0.3">
      <c r="B106" s="230"/>
      <c r="C106" s="231"/>
      <c r="D106" s="231"/>
      <c r="E106" s="231"/>
      <c r="F106" s="231"/>
      <c r="G106" s="231"/>
      <c r="H106" s="231"/>
      <c r="I106" s="231"/>
      <c r="J106" s="231"/>
      <c r="K106" s="232"/>
      <c r="L106" s="85"/>
    </row>
    <row r="107" spans="2:12" ht="15.75" thickBot="1" x14ac:dyDescent="0.3">
      <c r="B107" s="230"/>
      <c r="C107" s="231"/>
      <c r="D107" s="231"/>
      <c r="E107" s="231"/>
      <c r="F107" s="231"/>
      <c r="G107" s="231"/>
      <c r="H107" s="231"/>
      <c r="I107" s="231"/>
      <c r="J107" s="231"/>
      <c r="K107" s="232"/>
      <c r="L107" s="86"/>
    </row>
    <row r="108" spans="2:12" ht="15.75" thickBot="1" x14ac:dyDescent="0.3">
      <c r="B108" s="230"/>
      <c r="C108" s="231"/>
      <c r="D108" s="231"/>
      <c r="E108" s="231"/>
      <c r="F108" s="231"/>
      <c r="G108" s="231"/>
      <c r="H108" s="231"/>
      <c r="I108" s="231"/>
      <c r="J108" s="231"/>
      <c r="K108" s="232"/>
      <c r="L108" s="85"/>
    </row>
    <row r="109" spans="2:12" ht="15.75" thickBot="1" x14ac:dyDescent="0.3">
      <c r="B109" s="230"/>
      <c r="C109" s="231"/>
      <c r="D109" s="231"/>
      <c r="E109" s="231"/>
      <c r="F109" s="231"/>
      <c r="G109" s="231"/>
      <c r="H109" s="231"/>
      <c r="I109" s="231"/>
      <c r="J109" s="231"/>
      <c r="K109" s="232"/>
      <c r="L109" s="86"/>
    </row>
    <row r="110" spans="2:12" ht="15.75" thickBot="1" x14ac:dyDescent="0.3">
      <c r="B110" s="230"/>
      <c r="C110" s="231"/>
      <c r="D110" s="231"/>
      <c r="E110" s="231"/>
      <c r="F110" s="231"/>
      <c r="G110" s="231"/>
      <c r="H110" s="231"/>
      <c r="I110" s="231"/>
      <c r="J110" s="231"/>
      <c r="K110" s="232"/>
      <c r="L110" s="85"/>
    </row>
    <row r="111" spans="2:12" ht="15.75" thickBot="1" x14ac:dyDescent="0.3">
      <c r="B111" s="230"/>
      <c r="C111" s="231"/>
      <c r="D111" s="231"/>
      <c r="E111" s="231"/>
      <c r="F111" s="231"/>
      <c r="G111" s="231"/>
      <c r="H111" s="231"/>
      <c r="I111" s="231"/>
      <c r="J111" s="231"/>
      <c r="K111" s="232"/>
      <c r="L111" s="86"/>
    </row>
  </sheetData>
  <sheetProtection sheet="1" objects="1" scenarios="1"/>
  <mergeCells count="90">
    <mergeCell ref="B108:K108"/>
    <mergeCell ref="B109:K109"/>
    <mergeCell ref="B110:K110"/>
    <mergeCell ref="B111:K111"/>
    <mergeCell ref="B50:L50"/>
    <mergeCell ref="B51:L51"/>
    <mergeCell ref="B79:L79"/>
    <mergeCell ref="B102:K102"/>
    <mergeCell ref="B103:K103"/>
    <mergeCell ref="B104:K104"/>
    <mergeCell ref="B105:K105"/>
    <mergeCell ref="B106:K106"/>
    <mergeCell ref="B107:K107"/>
    <mergeCell ref="B96:K96"/>
    <mergeCell ref="B97:K97"/>
    <mergeCell ref="B98:K98"/>
    <mergeCell ref="B99:K99"/>
    <mergeCell ref="B100:K100"/>
    <mergeCell ref="B101:K101"/>
    <mergeCell ref="B90:K90"/>
    <mergeCell ref="B91:K91"/>
    <mergeCell ref="B92:K92"/>
    <mergeCell ref="B93:K93"/>
    <mergeCell ref="B94:K94"/>
    <mergeCell ref="B95:K95"/>
    <mergeCell ref="B87:K87"/>
    <mergeCell ref="B88:K88"/>
    <mergeCell ref="B89:K89"/>
    <mergeCell ref="K76:L76"/>
    <mergeCell ref="K77:L77"/>
    <mergeCell ref="B80:L81"/>
    <mergeCell ref="B83:K83"/>
    <mergeCell ref="B84:K84"/>
    <mergeCell ref="B85:K85"/>
    <mergeCell ref="B86:K86"/>
    <mergeCell ref="K75:L75"/>
    <mergeCell ref="K64:L64"/>
    <mergeCell ref="K65:L65"/>
    <mergeCell ref="K66:L66"/>
    <mergeCell ref="K67:L67"/>
    <mergeCell ref="K68:L68"/>
    <mergeCell ref="K69:L69"/>
    <mergeCell ref="K70:L70"/>
    <mergeCell ref="K71:L71"/>
    <mergeCell ref="K72:L72"/>
    <mergeCell ref="K73:L73"/>
    <mergeCell ref="K74:L74"/>
    <mergeCell ref="K58:L58"/>
    <mergeCell ref="K59:L59"/>
    <mergeCell ref="K60:L60"/>
    <mergeCell ref="K61:L61"/>
    <mergeCell ref="K62:L62"/>
    <mergeCell ref="K63:L63"/>
    <mergeCell ref="B75:J75"/>
    <mergeCell ref="B76:J76"/>
    <mergeCell ref="B77:J77"/>
    <mergeCell ref="B53:J53"/>
    <mergeCell ref="K53:L53"/>
    <mergeCell ref="K54:L54"/>
    <mergeCell ref="K55:L55"/>
    <mergeCell ref="K56:L56"/>
    <mergeCell ref="K57:L57"/>
    <mergeCell ref="B69:J69"/>
    <mergeCell ref="B70:J70"/>
    <mergeCell ref="B71:J71"/>
    <mergeCell ref="B72:J72"/>
    <mergeCell ref="B73:J73"/>
    <mergeCell ref="B74:J74"/>
    <mergeCell ref="B68:J68"/>
    <mergeCell ref="B57:J57"/>
    <mergeCell ref="B58:J58"/>
    <mergeCell ref="B59:J59"/>
    <mergeCell ref="B60:J60"/>
    <mergeCell ref="B61:J61"/>
    <mergeCell ref="B62:J62"/>
    <mergeCell ref="B63:J63"/>
    <mergeCell ref="B64:J64"/>
    <mergeCell ref="B65:J65"/>
    <mergeCell ref="B66:J66"/>
    <mergeCell ref="B67:J67"/>
    <mergeCell ref="C36:J38"/>
    <mergeCell ref="B54:J54"/>
    <mergeCell ref="B55:J55"/>
    <mergeCell ref="B56:J56"/>
    <mergeCell ref="C2:K3"/>
    <mergeCell ref="C4:K7"/>
    <mergeCell ref="C8:J11"/>
    <mergeCell ref="C13:J17"/>
    <mergeCell ref="C19:J21"/>
    <mergeCell ref="C32:J33"/>
  </mergeCells>
  <conditionalFormatting sqref="K54">
    <cfRule type="containsText" dxfId="22" priority="13" operator="containsText" text="Yes">
      <formula>NOT(ISERROR(SEARCH("Yes",K54)))</formula>
    </cfRule>
    <cfRule type="containsText" dxfId="21" priority="14" operator="containsText" text="No">
      <formula>NOT(ISERROR(SEARCH("No",K54)))</formula>
    </cfRule>
    <cfRule type="containsText" dxfId="20" priority="15" operator="containsText" text="Select from menu">
      <formula>NOT(ISERROR(SEARCH("Select from menu",K54)))</formula>
    </cfRule>
  </conditionalFormatting>
  <conditionalFormatting sqref="K68:K69">
    <cfRule type="containsText" dxfId="19" priority="10" operator="containsText" text="Yes">
      <formula>NOT(ISERROR(SEARCH("Yes",K68)))</formula>
    </cfRule>
    <cfRule type="containsText" dxfId="18" priority="11" operator="containsText" text="No">
      <formula>NOT(ISERROR(SEARCH("No",K68)))</formula>
    </cfRule>
    <cfRule type="containsText" dxfId="17" priority="12" operator="containsText" text="Select from menu">
      <formula>NOT(ISERROR(SEARCH("Select from menu",K68)))</formula>
    </cfRule>
  </conditionalFormatting>
  <conditionalFormatting sqref="K55">
    <cfRule type="containsText" dxfId="16" priority="7" operator="containsText" text="Yes">
      <formula>NOT(ISERROR(SEARCH("Yes",K55)))</formula>
    </cfRule>
    <cfRule type="containsText" dxfId="15" priority="8" operator="containsText" text="No">
      <formula>NOT(ISERROR(SEARCH("No",K55)))</formula>
    </cfRule>
    <cfRule type="containsText" dxfId="14" priority="9" operator="containsText" text="Select from menu">
      <formula>NOT(ISERROR(SEARCH("Select from menu",K55)))</formula>
    </cfRule>
  </conditionalFormatting>
  <conditionalFormatting sqref="K56:K67">
    <cfRule type="containsText" dxfId="13" priority="4" operator="containsText" text="Yes">
      <formula>NOT(ISERROR(SEARCH("Yes",K56)))</formula>
    </cfRule>
    <cfRule type="containsText" dxfId="12" priority="5" operator="containsText" text="No">
      <formula>NOT(ISERROR(SEARCH("No",K56)))</formula>
    </cfRule>
    <cfRule type="containsText" dxfId="11" priority="6" operator="containsText" text="Select from menu">
      <formula>NOT(ISERROR(SEARCH("Select from menu",K56)))</formula>
    </cfRule>
  </conditionalFormatting>
  <conditionalFormatting sqref="K70:K77">
    <cfRule type="containsText" dxfId="10" priority="1" operator="containsText" text="Yes">
      <formula>NOT(ISERROR(SEARCH("Yes",K70)))</formula>
    </cfRule>
    <cfRule type="containsText" dxfId="9" priority="2" operator="containsText" text="No">
      <formula>NOT(ISERROR(SEARCH("No",K70)))</formula>
    </cfRule>
    <cfRule type="containsText" dxfId="8" priority="3" operator="containsText" text="Select from menu">
      <formula>NOT(ISERROR(SEARCH("Select from menu",K70)))</formula>
    </cfRule>
  </conditionalFormatting>
  <dataValidations count="4">
    <dataValidation type="list" allowBlank="1" showInputMessage="1" showErrorMessage="1" sqref="K70:L77 K56:L56 K59:L67" xr:uid="{731542A8-892C-4AC3-8430-48772A49B436}">
      <formula1>$N$53:$N$55</formula1>
    </dataValidation>
    <dataValidation type="list" allowBlank="1" showInputMessage="1" showErrorMessage="1" sqref="K55:L55" xr:uid="{A4129E6F-D172-40FA-B347-151B9EE0B14C}">
      <formula1>$O$53:$O$56</formula1>
    </dataValidation>
    <dataValidation type="list" allowBlank="1" showInputMessage="1" showErrorMessage="1" sqref="K57:L57" xr:uid="{D15097E7-A60C-40F7-AD10-868C47034555}">
      <formula1>$P$53:$P$57</formula1>
    </dataValidation>
    <dataValidation type="list" allowBlank="1" showInputMessage="1" showErrorMessage="1" sqref="K58:L58" xr:uid="{7D0EEF51-41CD-49C1-8A3E-E0723207AEC1}">
      <formula1>$Q$53:$Q$56</formula1>
    </dataValidation>
  </dataValidations>
  <hyperlinks>
    <hyperlink ref="G44" r:id="rId1" xr:uid="{AC42D232-4617-4431-80D5-CB2FE3C797B4}"/>
    <hyperlink ref="C44" r:id="rId2" xr:uid="{77606810-6CA2-4544-81AF-4CCBE55B1459}"/>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45" r:id="rId5" name="Button 5">
              <controlPr defaultSize="0" print="0" autoFill="0" autoPict="0" macro="[0]!Sheet7.ClearResponses">
                <anchor moveWithCells="1" sizeWithCells="1">
                  <from>
                    <xdr:col>12</xdr:col>
                    <xdr:colOff>171450</xdr:colOff>
                    <xdr:row>79</xdr:row>
                    <xdr:rowOff>0</xdr:rowOff>
                  </from>
                  <to>
                    <xdr:col>14</xdr:col>
                    <xdr:colOff>95250</xdr:colOff>
                    <xdr:row>80</xdr:row>
                    <xdr:rowOff>352425</xdr:rowOff>
                  </to>
                </anchor>
              </controlPr>
            </control>
          </mc:Choice>
        </mc:AlternateContent>
        <mc:AlternateContent xmlns:mc="http://schemas.openxmlformats.org/markup-compatibility/2006">
          <mc:Choice Requires="x14">
            <control shapeId="10246" r:id="rId6" name="Button 6">
              <controlPr defaultSize="0" print="0" autoFill="0" autoPict="0" macro="[0]!Sheet7.ViewScoringMatrix">
                <anchor moveWithCells="1" sizeWithCells="1">
                  <from>
                    <xdr:col>14</xdr:col>
                    <xdr:colOff>209550</xdr:colOff>
                    <xdr:row>79</xdr:row>
                    <xdr:rowOff>0</xdr:rowOff>
                  </from>
                  <to>
                    <xdr:col>15</xdr:col>
                    <xdr:colOff>600075</xdr:colOff>
                    <xdr:row>80</xdr:row>
                    <xdr:rowOff>342900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57652-CD3B-4359-8FE6-60E035AC3269}">
  <sheetPr codeName="Sheet4">
    <tabColor theme="5" tint="0.79998168889431442"/>
    <pageSetUpPr fitToPage="1"/>
  </sheetPr>
  <dimension ref="A1:AC43"/>
  <sheetViews>
    <sheetView topLeftCell="A3" zoomScale="55" zoomScaleNormal="55" workbookViewId="0">
      <selection activeCell="B4" sqref="B4:C4"/>
    </sheetView>
  </sheetViews>
  <sheetFormatPr defaultColWidth="9.140625" defaultRowHeight="15" x14ac:dyDescent="0.25"/>
  <cols>
    <col min="1" max="1" width="5.85546875" style="6" customWidth="1"/>
    <col min="2" max="2" width="9.140625" style="1"/>
    <col min="3" max="3" width="42.42578125" style="1" customWidth="1"/>
    <col min="4" max="4" width="18.85546875" style="1" customWidth="1"/>
    <col min="5" max="7" width="12.42578125" style="1" customWidth="1"/>
    <col min="8" max="8" width="9.140625" style="1"/>
    <col min="9" max="9" width="12.28515625" style="1" customWidth="1"/>
    <col min="10" max="10" width="13" style="1" customWidth="1"/>
    <col min="11" max="11" width="12.140625" style="1" customWidth="1"/>
    <col min="12" max="13" width="14" style="1" customWidth="1"/>
    <col min="14" max="14" width="18.5703125" style="1" customWidth="1"/>
    <col min="15" max="16" width="12.7109375" style="1" customWidth="1"/>
    <col min="17" max="17" width="10.42578125" style="1" customWidth="1"/>
    <col min="18" max="18" width="12.85546875" style="1" customWidth="1"/>
    <col min="19" max="19" width="14.85546875" style="1" customWidth="1"/>
    <col min="20" max="21" width="15.5703125" style="1" customWidth="1"/>
    <col min="22" max="22" width="13.42578125" style="1" customWidth="1"/>
    <col min="23" max="29" width="13.5703125" style="1" customWidth="1"/>
    <col min="30" max="16384" width="9.140625" style="1"/>
  </cols>
  <sheetData>
    <row r="1" spans="1:29" hidden="1" x14ac:dyDescent="0.25"/>
    <row r="2" spans="1:29" hidden="1" x14ac:dyDescent="0.25"/>
    <row r="3" spans="1:29" ht="26.25" x14ac:dyDescent="0.4">
      <c r="C3" s="62"/>
    </row>
    <row r="4" spans="1:29" s="4" customFormat="1" ht="144.6" customHeight="1" thickBot="1" x14ac:dyDescent="0.4">
      <c r="A4" s="63"/>
      <c r="B4" s="223" t="s">
        <v>165</v>
      </c>
      <c r="C4" s="223"/>
      <c r="D4" s="64"/>
      <c r="E4" s="64"/>
      <c r="F4" s="64"/>
      <c r="G4" s="64"/>
      <c r="H4" s="64"/>
      <c r="I4" s="225" t="s">
        <v>294</v>
      </c>
      <c r="J4" s="225"/>
      <c r="K4" s="225"/>
      <c r="L4" s="225"/>
      <c r="M4" s="225"/>
      <c r="N4" s="225"/>
    </row>
    <row r="5" spans="1:29" s="3" customFormat="1" ht="162.75" customHeight="1" thickBot="1" x14ac:dyDescent="0.3">
      <c r="A5" s="66"/>
      <c r="B5" s="67" t="s">
        <v>260</v>
      </c>
      <c r="C5" s="67" t="s">
        <v>31</v>
      </c>
      <c r="D5" s="87" t="s">
        <v>166</v>
      </c>
      <c r="E5" s="69" t="s">
        <v>167</v>
      </c>
      <c r="F5" s="69" t="s">
        <v>168</v>
      </c>
      <c r="G5" s="69" t="s">
        <v>169</v>
      </c>
      <c r="H5" s="69" t="s">
        <v>170</v>
      </c>
      <c r="I5" s="69" t="s">
        <v>171</v>
      </c>
      <c r="J5" s="69" t="s">
        <v>172</v>
      </c>
      <c r="K5" s="69" t="s">
        <v>173</v>
      </c>
      <c r="L5" s="69" t="s">
        <v>174</v>
      </c>
      <c r="M5" s="69" t="s">
        <v>175</v>
      </c>
      <c r="N5" s="69" t="s">
        <v>176</v>
      </c>
      <c r="O5" s="69" t="s">
        <v>177</v>
      </c>
      <c r="P5" s="69" t="s">
        <v>178</v>
      </c>
      <c r="Q5" s="69" t="s">
        <v>179</v>
      </c>
      <c r="R5" s="69" t="s">
        <v>180</v>
      </c>
      <c r="S5" s="69" t="s">
        <v>181</v>
      </c>
      <c r="T5" s="69" t="s">
        <v>182</v>
      </c>
      <c r="U5" s="69" t="s">
        <v>183</v>
      </c>
      <c r="V5" s="68" t="s">
        <v>184</v>
      </c>
      <c r="W5" s="69" t="s">
        <v>185</v>
      </c>
      <c r="X5" s="69" t="s">
        <v>186</v>
      </c>
      <c r="Y5" s="69" t="s">
        <v>187</v>
      </c>
      <c r="Z5" s="69" t="s">
        <v>188</v>
      </c>
      <c r="AA5" s="69" t="s">
        <v>189</v>
      </c>
      <c r="AB5" s="69" t="s">
        <v>190</v>
      </c>
      <c r="AC5" s="69" t="s">
        <v>191</v>
      </c>
    </row>
    <row r="6" spans="1:29" ht="15.75" thickBot="1" x14ac:dyDescent="0.3">
      <c r="A6" s="6">
        <v>0</v>
      </c>
      <c r="B6" s="88" t="s">
        <v>16</v>
      </c>
      <c r="C6" s="72" t="s">
        <v>37</v>
      </c>
      <c r="D6" s="89" t="s">
        <v>192</v>
      </c>
      <c r="E6" s="73"/>
      <c r="F6" s="73"/>
      <c r="G6" s="73"/>
      <c r="H6" s="73"/>
      <c r="I6" s="73"/>
      <c r="J6" s="73"/>
      <c r="K6" s="73"/>
      <c r="L6" s="73"/>
      <c r="M6" s="73"/>
      <c r="N6" s="73"/>
      <c r="O6" s="73"/>
      <c r="P6" s="73"/>
      <c r="Q6" s="73"/>
      <c r="R6" s="73"/>
      <c r="S6" s="73"/>
      <c r="T6" s="73"/>
      <c r="U6" s="73"/>
      <c r="V6" s="73"/>
      <c r="W6" s="73"/>
      <c r="X6" s="73"/>
      <c r="Y6" s="73"/>
      <c r="Z6" s="73"/>
      <c r="AA6" s="73"/>
      <c r="AB6" s="73"/>
      <c r="AC6" s="73"/>
    </row>
    <row r="7" spans="1:29" ht="30.75" customHeight="1" thickBot="1" x14ac:dyDescent="0.3">
      <c r="A7" s="6">
        <f>IF('Stakeholders Wizard'!$K$55=D7,1,0)</f>
        <v>0</v>
      </c>
      <c r="B7" s="240" t="s">
        <v>17</v>
      </c>
      <c r="C7" s="243" t="s">
        <v>38</v>
      </c>
      <c r="D7" s="89" t="s">
        <v>193</v>
      </c>
      <c r="E7" s="73">
        <v>2</v>
      </c>
      <c r="F7" s="73">
        <v>1</v>
      </c>
      <c r="G7" s="73">
        <v>1</v>
      </c>
      <c r="H7" s="73">
        <v>2</v>
      </c>
      <c r="I7" s="73">
        <v>0</v>
      </c>
      <c r="J7" s="73">
        <v>99</v>
      </c>
      <c r="K7" s="73">
        <v>2</v>
      </c>
      <c r="L7" s="73">
        <v>2</v>
      </c>
      <c r="M7" s="73">
        <v>1</v>
      </c>
      <c r="N7" s="73">
        <v>1</v>
      </c>
      <c r="O7" s="73">
        <v>0</v>
      </c>
      <c r="P7" s="73">
        <v>2</v>
      </c>
      <c r="Q7" s="73">
        <v>1</v>
      </c>
      <c r="R7" s="73">
        <v>1</v>
      </c>
      <c r="S7" s="73">
        <v>2</v>
      </c>
      <c r="T7" s="73">
        <v>2</v>
      </c>
      <c r="U7" s="73">
        <v>2</v>
      </c>
      <c r="V7" s="73">
        <v>1</v>
      </c>
      <c r="W7" s="73">
        <v>2</v>
      </c>
      <c r="X7" s="73">
        <v>2</v>
      </c>
      <c r="Y7" s="73">
        <v>1</v>
      </c>
      <c r="Z7" s="73">
        <v>0</v>
      </c>
      <c r="AA7" s="73">
        <v>0</v>
      </c>
      <c r="AB7" s="73">
        <v>0</v>
      </c>
      <c r="AC7" s="73">
        <v>2</v>
      </c>
    </row>
    <row r="8" spans="1:29" ht="15.75" thickBot="1" x14ac:dyDescent="0.3">
      <c r="A8" s="6">
        <f>IF('Stakeholders Wizard'!$K$55=D8,1,0)</f>
        <v>0</v>
      </c>
      <c r="B8" s="241"/>
      <c r="C8" s="244"/>
      <c r="D8" s="89" t="s">
        <v>194</v>
      </c>
      <c r="E8" s="73">
        <v>1</v>
      </c>
      <c r="F8" s="73">
        <v>1</v>
      </c>
      <c r="G8" s="73">
        <v>1</v>
      </c>
      <c r="H8" s="73">
        <v>1</v>
      </c>
      <c r="I8" s="73">
        <v>1</v>
      </c>
      <c r="J8" s="73">
        <v>1</v>
      </c>
      <c r="K8" s="73">
        <v>1</v>
      </c>
      <c r="L8" s="73">
        <v>1</v>
      </c>
      <c r="M8" s="73">
        <v>1</v>
      </c>
      <c r="N8" s="73">
        <v>1</v>
      </c>
      <c r="O8" s="73">
        <v>1</v>
      </c>
      <c r="P8" s="73">
        <v>1</v>
      </c>
      <c r="Q8" s="73">
        <v>2</v>
      </c>
      <c r="R8" s="73">
        <v>2</v>
      </c>
      <c r="S8" s="73">
        <v>1</v>
      </c>
      <c r="T8" s="73">
        <v>1</v>
      </c>
      <c r="U8" s="73">
        <v>1</v>
      </c>
      <c r="V8" s="73">
        <v>2</v>
      </c>
      <c r="W8" s="73">
        <v>1</v>
      </c>
      <c r="X8" s="73">
        <v>1</v>
      </c>
      <c r="Y8" s="73">
        <v>1</v>
      </c>
      <c r="Z8" s="73">
        <v>0</v>
      </c>
      <c r="AA8" s="73">
        <v>0</v>
      </c>
      <c r="AB8" s="73">
        <v>0</v>
      </c>
      <c r="AC8" s="73">
        <v>1</v>
      </c>
    </row>
    <row r="9" spans="1:29" ht="15.75" thickBot="1" x14ac:dyDescent="0.3">
      <c r="A9" s="6">
        <f>IF('Stakeholders Wizard'!$K$55=D9,1,0)</f>
        <v>0</v>
      </c>
      <c r="B9" s="242"/>
      <c r="C9" s="245"/>
      <c r="D9" s="89" t="s">
        <v>195</v>
      </c>
      <c r="E9" s="73">
        <v>0</v>
      </c>
      <c r="F9" s="73">
        <v>1</v>
      </c>
      <c r="G9" s="73">
        <v>1</v>
      </c>
      <c r="H9" s="73">
        <v>0</v>
      </c>
      <c r="I9" s="73">
        <v>1</v>
      </c>
      <c r="J9" s="73">
        <v>1</v>
      </c>
      <c r="K9" s="73">
        <v>1</v>
      </c>
      <c r="L9" s="73">
        <v>1</v>
      </c>
      <c r="M9" s="73">
        <v>0</v>
      </c>
      <c r="N9" s="73">
        <v>0</v>
      </c>
      <c r="O9" s="73">
        <v>1</v>
      </c>
      <c r="P9" s="73">
        <v>0</v>
      </c>
      <c r="Q9" s="73">
        <v>1</v>
      </c>
      <c r="R9" s="73">
        <v>1</v>
      </c>
      <c r="S9" s="73">
        <v>0</v>
      </c>
      <c r="T9" s="73">
        <v>0</v>
      </c>
      <c r="U9" s="73">
        <v>0</v>
      </c>
      <c r="V9" s="73">
        <v>2</v>
      </c>
      <c r="W9" s="73">
        <v>0</v>
      </c>
      <c r="X9" s="73">
        <v>0</v>
      </c>
      <c r="Y9" s="73">
        <v>0</v>
      </c>
      <c r="Z9" s="73">
        <v>0</v>
      </c>
      <c r="AA9" s="73">
        <v>0</v>
      </c>
      <c r="AB9" s="73">
        <v>0</v>
      </c>
      <c r="AC9" s="73">
        <v>0</v>
      </c>
    </row>
    <row r="10" spans="1:29" ht="15.75" thickBot="1" x14ac:dyDescent="0.3">
      <c r="A10" s="6">
        <f>IF('Stakeholders Wizard'!K56="Yes",1,0)</f>
        <v>0</v>
      </c>
      <c r="B10" s="88" t="s">
        <v>18</v>
      </c>
      <c r="C10" s="72" t="s">
        <v>39</v>
      </c>
      <c r="D10" s="89" t="s">
        <v>43</v>
      </c>
      <c r="E10" s="73"/>
      <c r="F10" s="73"/>
      <c r="G10" s="73"/>
      <c r="H10" s="73"/>
      <c r="I10" s="73">
        <v>2</v>
      </c>
      <c r="J10" s="73"/>
      <c r="K10" s="73"/>
      <c r="L10" s="73"/>
      <c r="M10" s="73"/>
      <c r="N10" s="73"/>
      <c r="O10" s="73"/>
      <c r="P10" s="73"/>
      <c r="Q10" s="73"/>
      <c r="R10" s="73"/>
      <c r="S10" s="73"/>
      <c r="T10" s="73"/>
      <c r="U10" s="73"/>
      <c r="V10" s="73">
        <v>2</v>
      </c>
      <c r="W10" s="73"/>
      <c r="X10" s="73">
        <v>2</v>
      </c>
      <c r="Y10" s="73"/>
      <c r="Z10" s="73"/>
      <c r="AA10" s="73"/>
      <c r="AB10" s="73"/>
      <c r="AC10" s="73"/>
    </row>
    <row r="11" spans="1:29" ht="30.75" customHeight="1" thickBot="1" x14ac:dyDescent="0.3">
      <c r="A11" s="6">
        <f>IF('Stakeholders Wizard'!$K$57=D11,1,0)</f>
        <v>0</v>
      </c>
      <c r="B11" s="240" t="s">
        <v>19</v>
      </c>
      <c r="C11" s="243" t="s">
        <v>40</v>
      </c>
      <c r="D11" s="89" t="s">
        <v>196</v>
      </c>
      <c r="E11" s="73">
        <v>2</v>
      </c>
      <c r="F11" s="73">
        <v>1</v>
      </c>
      <c r="G11" s="73">
        <v>0</v>
      </c>
      <c r="H11" s="73">
        <v>0</v>
      </c>
      <c r="I11" s="73">
        <v>0</v>
      </c>
      <c r="J11" s="73">
        <v>0</v>
      </c>
      <c r="K11" s="73">
        <v>0</v>
      </c>
      <c r="L11" s="73">
        <v>0</v>
      </c>
      <c r="M11" s="73">
        <v>0</v>
      </c>
      <c r="N11" s="73">
        <v>0</v>
      </c>
      <c r="O11" s="73">
        <v>0</v>
      </c>
      <c r="P11" s="73">
        <v>0</v>
      </c>
      <c r="Q11" s="73">
        <v>0</v>
      </c>
      <c r="R11" s="73">
        <v>0</v>
      </c>
      <c r="S11" s="73">
        <v>0</v>
      </c>
      <c r="T11" s="73">
        <v>0</v>
      </c>
      <c r="U11" s="73">
        <v>0</v>
      </c>
      <c r="V11" s="73">
        <v>0</v>
      </c>
      <c r="W11" s="73">
        <v>0</v>
      </c>
      <c r="X11" s="73">
        <v>0</v>
      </c>
      <c r="Y11" s="73">
        <v>0</v>
      </c>
      <c r="Z11" s="73">
        <v>0</v>
      </c>
      <c r="AA11" s="73">
        <v>0</v>
      </c>
      <c r="AB11" s="73">
        <v>0</v>
      </c>
      <c r="AC11" s="73">
        <v>2</v>
      </c>
    </row>
    <row r="12" spans="1:29" ht="15.75" thickBot="1" x14ac:dyDescent="0.3">
      <c r="A12" s="6">
        <f>IF('Stakeholders Wizard'!$K$57=D12,1,0)</f>
        <v>0</v>
      </c>
      <c r="B12" s="241"/>
      <c r="C12" s="244"/>
      <c r="D12" s="89" t="s">
        <v>197</v>
      </c>
      <c r="E12" s="73">
        <v>0</v>
      </c>
      <c r="F12" s="73">
        <v>2</v>
      </c>
      <c r="G12" s="73">
        <v>1</v>
      </c>
      <c r="H12" s="73">
        <v>0</v>
      </c>
      <c r="I12" s="73">
        <v>0</v>
      </c>
      <c r="J12" s="73">
        <v>0</v>
      </c>
      <c r="K12" s="73">
        <v>0</v>
      </c>
      <c r="L12" s="73">
        <v>0</v>
      </c>
      <c r="M12" s="73">
        <v>0</v>
      </c>
      <c r="N12" s="73">
        <v>0</v>
      </c>
      <c r="O12" s="73">
        <v>0</v>
      </c>
      <c r="P12" s="73">
        <v>0</v>
      </c>
      <c r="Q12" s="73">
        <v>0</v>
      </c>
      <c r="R12" s="73">
        <v>0</v>
      </c>
      <c r="S12" s="73">
        <v>0</v>
      </c>
      <c r="T12" s="73">
        <v>0</v>
      </c>
      <c r="U12" s="73">
        <v>0</v>
      </c>
      <c r="V12" s="73">
        <v>0</v>
      </c>
      <c r="W12" s="73">
        <v>0</v>
      </c>
      <c r="X12" s="73">
        <v>0</v>
      </c>
      <c r="Y12" s="73">
        <v>0</v>
      </c>
      <c r="Z12" s="73">
        <v>0</v>
      </c>
      <c r="AA12" s="73">
        <v>0</v>
      </c>
      <c r="AB12" s="73">
        <v>0</v>
      </c>
      <c r="AC12" s="73">
        <v>1</v>
      </c>
    </row>
    <row r="13" spans="1:29" ht="15.75" thickBot="1" x14ac:dyDescent="0.3">
      <c r="A13" s="6">
        <f>IF('Stakeholders Wizard'!$K$57=D13,1,0)</f>
        <v>0</v>
      </c>
      <c r="B13" s="241"/>
      <c r="C13" s="244"/>
      <c r="D13" s="89" t="s">
        <v>198</v>
      </c>
      <c r="E13" s="73">
        <v>0</v>
      </c>
      <c r="F13" s="73">
        <v>1</v>
      </c>
      <c r="G13" s="73">
        <v>2</v>
      </c>
      <c r="H13" s="73">
        <v>0</v>
      </c>
      <c r="I13" s="73">
        <v>0</v>
      </c>
      <c r="J13" s="73">
        <v>0</v>
      </c>
      <c r="K13" s="73">
        <v>0</v>
      </c>
      <c r="L13" s="73">
        <v>0</v>
      </c>
      <c r="M13" s="73">
        <v>0</v>
      </c>
      <c r="N13" s="73">
        <v>0</v>
      </c>
      <c r="O13" s="73">
        <v>0</v>
      </c>
      <c r="P13" s="73">
        <v>0</v>
      </c>
      <c r="Q13" s="73">
        <v>0</v>
      </c>
      <c r="R13" s="73">
        <v>0</v>
      </c>
      <c r="S13" s="73">
        <v>0</v>
      </c>
      <c r="T13" s="73">
        <v>0</v>
      </c>
      <c r="U13" s="73">
        <v>0</v>
      </c>
      <c r="V13" s="73">
        <v>0</v>
      </c>
      <c r="W13" s="73">
        <v>0</v>
      </c>
      <c r="X13" s="73">
        <v>0</v>
      </c>
      <c r="Y13" s="73">
        <v>0</v>
      </c>
      <c r="Z13" s="73">
        <v>0</v>
      </c>
      <c r="AA13" s="73">
        <v>0</v>
      </c>
      <c r="AB13" s="73">
        <v>0</v>
      </c>
      <c r="AC13" s="73">
        <v>0</v>
      </c>
    </row>
    <row r="14" spans="1:29" ht="15.75" thickBot="1" x14ac:dyDescent="0.3">
      <c r="A14" s="6">
        <f>IF('Stakeholders Wizard'!$K$57=D14,1,0)</f>
        <v>0</v>
      </c>
      <c r="B14" s="242"/>
      <c r="C14" s="245"/>
      <c r="D14" s="89" t="s">
        <v>199</v>
      </c>
      <c r="E14" s="73">
        <v>0</v>
      </c>
      <c r="F14" s="73">
        <v>1</v>
      </c>
      <c r="G14" s="73">
        <v>1</v>
      </c>
      <c r="H14" s="73">
        <v>0</v>
      </c>
      <c r="I14" s="73">
        <v>0</v>
      </c>
      <c r="J14" s="73">
        <v>0</v>
      </c>
      <c r="K14" s="73">
        <v>0</v>
      </c>
      <c r="L14" s="73">
        <v>0</v>
      </c>
      <c r="M14" s="73">
        <v>0</v>
      </c>
      <c r="N14" s="73">
        <v>0</v>
      </c>
      <c r="O14" s="73">
        <v>0</v>
      </c>
      <c r="P14" s="73">
        <v>0</v>
      </c>
      <c r="Q14" s="73">
        <v>0</v>
      </c>
      <c r="R14" s="73">
        <v>0</v>
      </c>
      <c r="S14" s="73">
        <v>0</v>
      </c>
      <c r="T14" s="73">
        <v>0</v>
      </c>
      <c r="U14" s="73">
        <v>0</v>
      </c>
      <c r="V14" s="73">
        <v>0</v>
      </c>
      <c r="W14" s="73">
        <v>0</v>
      </c>
      <c r="X14" s="73">
        <v>0</v>
      </c>
      <c r="Y14" s="73">
        <v>0</v>
      </c>
      <c r="Z14" s="73">
        <v>0</v>
      </c>
      <c r="AA14" s="73">
        <v>0</v>
      </c>
      <c r="AB14" s="73">
        <v>0</v>
      </c>
      <c r="AC14" s="73">
        <v>0</v>
      </c>
    </row>
    <row r="15" spans="1:29" ht="15.75" thickBot="1" x14ac:dyDescent="0.3">
      <c r="A15" s="6">
        <f>IF('Stakeholders Wizard'!$K$58=D15,1,0)</f>
        <v>0</v>
      </c>
      <c r="B15" s="234"/>
      <c r="C15" s="237" t="s">
        <v>200</v>
      </c>
      <c r="D15" s="89" t="s">
        <v>201</v>
      </c>
      <c r="E15" s="73">
        <v>0</v>
      </c>
      <c r="F15" s="73">
        <v>0</v>
      </c>
      <c r="G15" s="73">
        <v>0</v>
      </c>
      <c r="H15" s="73">
        <v>0</v>
      </c>
      <c r="I15" s="73">
        <v>0</v>
      </c>
      <c r="J15" s="73">
        <v>0</v>
      </c>
      <c r="K15" s="73">
        <v>0</v>
      </c>
      <c r="L15" s="73">
        <v>0</v>
      </c>
      <c r="M15" s="73">
        <v>2</v>
      </c>
      <c r="N15" s="73">
        <v>0</v>
      </c>
      <c r="O15" s="73">
        <v>0</v>
      </c>
      <c r="P15" s="73">
        <v>0</v>
      </c>
      <c r="Q15" s="73">
        <v>0</v>
      </c>
      <c r="R15" s="73">
        <v>0</v>
      </c>
      <c r="S15" s="73">
        <v>0</v>
      </c>
      <c r="T15" s="73">
        <v>0</v>
      </c>
      <c r="U15" s="73">
        <v>0</v>
      </c>
      <c r="V15" s="73">
        <v>0</v>
      </c>
      <c r="W15" s="73">
        <v>0</v>
      </c>
      <c r="X15" s="73">
        <v>0</v>
      </c>
      <c r="Y15" s="73">
        <v>0</v>
      </c>
      <c r="Z15" s="73">
        <v>0</v>
      </c>
      <c r="AA15" s="73">
        <v>0</v>
      </c>
      <c r="AB15" s="73">
        <v>0</v>
      </c>
      <c r="AC15" s="73">
        <v>0</v>
      </c>
    </row>
    <row r="16" spans="1:29" ht="15.75" thickBot="1" x14ac:dyDescent="0.3">
      <c r="A16" s="6">
        <f>IF('Stakeholders Wizard'!$K$58=D16,1,0)</f>
        <v>0</v>
      </c>
      <c r="B16" s="235"/>
      <c r="C16" s="238"/>
      <c r="D16" s="89" t="s">
        <v>202</v>
      </c>
      <c r="E16" s="73">
        <v>0</v>
      </c>
      <c r="F16" s="73">
        <v>0</v>
      </c>
      <c r="G16" s="73">
        <v>0</v>
      </c>
      <c r="H16" s="73">
        <v>0</v>
      </c>
      <c r="I16" s="73">
        <v>0</v>
      </c>
      <c r="J16" s="73">
        <v>0</v>
      </c>
      <c r="K16" s="73">
        <v>0</v>
      </c>
      <c r="L16" s="73">
        <v>0</v>
      </c>
      <c r="M16" s="73">
        <v>0</v>
      </c>
      <c r="N16" s="73">
        <v>2</v>
      </c>
      <c r="O16" s="73">
        <v>0</v>
      </c>
      <c r="P16" s="73">
        <v>0</v>
      </c>
      <c r="Q16" s="73">
        <v>0</v>
      </c>
      <c r="R16" s="73">
        <v>0</v>
      </c>
      <c r="S16" s="73">
        <v>0</v>
      </c>
      <c r="T16" s="73">
        <v>0</v>
      </c>
      <c r="U16" s="73">
        <v>0</v>
      </c>
      <c r="V16" s="73">
        <v>0</v>
      </c>
      <c r="W16" s="73">
        <v>0</v>
      </c>
      <c r="X16" s="73">
        <v>0</v>
      </c>
      <c r="Y16" s="73">
        <v>0</v>
      </c>
      <c r="Z16" s="73">
        <v>0</v>
      </c>
      <c r="AA16" s="73">
        <v>0</v>
      </c>
      <c r="AB16" s="73">
        <v>0</v>
      </c>
      <c r="AC16" s="73">
        <v>0</v>
      </c>
    </row>
    <row r="17" spans="1:29" ht="30.75" thickBot="1" x14ac:dyDescent="0.3">
      <c r="A17" s="6">
        <f>IF('Stakeholders Wizard'!$K$58=D17,1,0)</f>
        <v>0</v>
      </c>
      <c r="B17" s="236"/>
      <c r="C17" s="239"/>
      <c r="D17" s="89" t="s">
        <v>203</v>
      </c>
      <c r="E17" s="73">
        <v>0</v>
      </c>
      <c r="F17" s="73">
        <v>0</v>
      </c>
      <c r="G17" s="73">
        <v>0</v>
      </c>
      <c r="H17" s="73">
        <v>0</v>
      </c>
      <c r="I17" s="73">
        <v>0</v>
      </c>
      <c r="J17" s="73">
        <v>0</v>
      </c>
      <c r="K17" s="73">
        <v>2</v>
      </c>
      <c r="L17" s="73">
        <v>0</v>
      </c>
      <c r="M17" s="73">
        <v>0</v>
      </c>
      <c r="N17" s="73">
        <v>0</v>
      </c>
      <c r="O17" s="73">
        <v>0</v>
      </c>
      <c r="P17" s="73">
        <v>0</v>
      </c>
      <c r="Q17" s="73">
        <v>0</v>
      </c>
      <c r="R17" s="73">
        <v>0</v>
      </c>
      <c r="S17" s="73">
        <v>0</v>
      </c>
      <c r="T17" s="73">
        <v>0</v>
      </c>
      <c r="U17" s="73">
        <v>0</v>
      </c>
      <c r="V17" s="73">
        <v>0</v>
      </c>
      <c r="W17" s="73">
        <v>0</v>
      </c>
      <c r="X17" s="73">
        <v>0</v>
      </c>
      <c r="Y17" s="73">
        <v>0</v>
      </c>
      <c r="Z17" s="73">
        <v>0</v>
      </c>
      <c r="AA17" s="73">
        <v>0</v>
      </c>
      <c r="AB17" s="73">
        <v>0</v>
      </c>
      <c r="AC17" s="73">
        <v>0</v>
      </c>
    </row>
    <row r="18" spans="1:29" ht="15.75" thickBot="1" x14ac:dyDescent="0.3">
      <c r="A18" s="6">
        <f>IF('Stakeholders Wizard'!K59="Yes",1,0)</f>
        <v>0</v>
      </c>
      <c r="B18" s="88" t="s">
        <v>20</v>
      </c>
      <c r="C18" s="72" t="s">
        <v>268</v>
      </c>
      <c r="D18" s="89" t="s">
        <v>43</v>
      </c>
      <c r="E18" s="73"/>
      <c r="F18" s="73"/>
      <c r="G18" s="73"/>
      <c r="H18" s="73"/>
      <c r="I18" s="73"/>
      <c r="J18" s="73"/>
      <c r="K18" s="73"/>
      <c r="L18" s="73"/>
      <c r="M18" s="73"/>
      <c r="N18" s="73"/>
      <c r="O18" s="73"/>
      <c r="P18" s="73"/>
      <c r="Q18" s="73"/>
      <c r="R18" s="73"/>
      <c r="S18" s="73"/>
      <c r="T18" s="73"/>
      <c r="U18" s="73"/>
      <c r="V18" s="73"/>
      <c r="W18" s="73"/>
      <c r="X18" s="73"/>
      <c r="Y18" s="73"/>
      <c r="Z18" s="73">
        <v>2</v>
      </c>
      <c r="AA18" s="73"/>
      <c r="AB18" s="73"/>
      <c r="AC18" s="73"/>
    </row>
    <row r="19" spans="1:29" ht="30.75" thickBot="1" x14ac:dyDescent="0.3">
      <c r="A19" s="6">
        <f>IF('Stakeholders Wizard'!K60="Yes",1,0)</f>
        <v>0</v>
      </c>
      <c r="B19" s="88" t="s">
        <v>21</v>
      </c>
      <c r="C19" s="72" t="s">
        <v>269</v>
      </c>
      <c r="D19" s="89" t="s">
        <v>43</v>
      </c>
      <c r="E19" s="73"/>
      <c r="F19" s="73"/>
      <c r="G19" s="73"/>
      <c r="H19" s="73"/>
      <c r="I19" s="73"/>
      <c r="J19" s="73"/>
      <c r="K19" s="73"/>
      <c r="L19" s="73"/>
      <c r="M19" s="73"/>
      <c r="N19" s="73"/>
      <c r="O19" s="73"/>
      <c r="P19" s="73"/>
      <c r="Q19" s="73">
        <v>2</v>
      </c>
      <c r="R19" s="73">
        <v>2</v>
      </c>
      <c r="S19" s="73"/>
      <c r="T19" s="73"/>
      <c r="U19" s="73">
        <v>2</v>
      </c>
      <c r="V19" s="73"/>
      <c r="W19" s="73"/>
      <c r="X19" s="73"/>
      <c r="Y19" s="73"/>
      <c r="Z19" s="73"/>
      <c r="AA19" s="73">
        <v>2</v>
      </c>
      <c r="AB19" s="73"/>
      <c r="AC19" s="73"/>
    </row>
    <row r="20" spans="1:29" ht="15.75" thickBot="1" x14ac:dyDescent="0.3">
      <c r="A20" s="6">
        <f>IF('Stakeholders Wizard'!K61="Yes",1,0)</f>
        <v>0</v>
      </c>
      <c r="B20" s="88" t="s">
        <v>22</v>
      </c>
      <c r="C20" s="72" t="s">
        <v>270</v>
      </c>
      <c r="D20" s="89" t="s">
        <v>43</v>
      </c>
      <c r="E20" s="73"/>
      <c r="F20" s="73"/>
      <c r="G20" s="73">
        <v>2</v>
      </c>
      <c r="H20" s="73"/>
      <c r="I20" s="73"/>
      <c r="J20" s="73"/>
      <c r="K20" s="73"/>
      <c r="L20" s="73"/>
      <c r="M20" s="73">
        <v>2</v>
      </c>
      <c r="N20" s="73"/>
      <c r="O20" s="73"/>
      <c r="P20" s="73"/>
      <c r="Q20" s="73"/>
      <c r="R20" s="73"/>
      <c r="S20" s="73"/>
      <c r="T20" s="73"/>
      <c r="U20" s="73"/>
      <c r="V20" s="73"/>
      <c r="W20" s="73"/>
      <c r="X20" s="73"/>
      <c r="Y20" s="73">
        <v>2</v>
      </c>
      <c r="Z20" s="73"/>
      <c r="AA20" s="73"/>
      <c r="AB20" s="73"/>
      <c r="AC20" s="73">
        <v>2</v>
      </c>
    </row>
    <row r="21" spans="1:29" ht="30.75" thickBot="1" x14ac:dyDescent="0.3">
      <c r="A21" s="6">
        <f>IF('Stakeholders Wizard'!K62="Yes",1,0)</f>
        <v>0</v>
      </c>
      <c r="B21" s="88" t="s">
        <v>23</v>
      </c>
      <c r="C21" s="72" t="s">
        <v>271</v>
      </c>
      <c r="D21" s="89" t="s">
        <v>43</v>
      </c>
      <c r="E21" s="73"/>
      <c r="F21" s="73"/>
      <c r="G21" s="73"/>
      <c r="H21" s="73"/>
      <c r="I21" s="73">
        <v>2</v>
      </c>
      <c r="J21" s="73"/>
      <c r="K21" s="73"/>
      <c r="L21" s="73"/>
      <c r="M21" s="73"/>
      <c r="N21" s="73"/>
      <c r="O21" s="73"/>
      <c r="P21" s="73"/>
      <c r="Q21" s="73"/>
      <c r="R21" s="73"/>
      <c r="S21" s="73"/>
      <c r="T21" s="73"/>
      <c r="U21" s="73"/>
      <c r="V21" s="73"/>
      <c r="W21" s="73"/>
      <c r="X21" s="73"/>
      <c r="Y21" s="73"/>
      <c r="Z21" s="73"/>
      <c r="AA21" s="73"/>
      <c r="AB21" s="73"/>
      <c r="AC21" s="73"/>
    </row>
    <row r="22" spans="1:29" ht="15.75" thickBot="1" x14ac:dyDescent="0.3">
      <c r="A22" s="6">
        <f>IF('Stakeholders Wizard'!K63="Yes",1,0)</f>
        <v>0</v>
      </c>
      <c r="B22" s="88" t="s">
        <v>24</v>
      </c>
      <c r="C22" s="72" t="s">
        <v>272</v>
      </c>
      <c r="D22" s="89" t="s">
        <v>43</v>
      </c>
      <c r="E22" s="73"/>
      <c r="F22" s="73"/>
      <c r="G22" s="73"/>
      <c r="H22" s="73"/>
      <c r="I22" s="73"/>
      <c r="J22" s="73"/>
      <c r="K22" s="73">
        <v>2</v>
      </c>
      <c r="L22" s="73">
        <v>2</v>
      </c>
      <c r="M22" s="73"/>
      <c r="N22" s="73"/>
      <c r="O22" s="73"/>
      <c r="P22" s="73"/>
      <c r="Q22" s="73"/>
      <c r="R22" s="73"/>
      <c r="S22" s="73"/>
      <c r="T22" s="73"/>
      <c r="U22" s="73"/>
      <c r="V22" s="73"/>
      <c r="W22" s="73"/>
      <c r="X22" s="73"/>
      <c r="Y22" s="73"/>
      <c r="Z22" s="73"/>
      <c r="AA22" s="73"/>
      <c r="AB22" s="73"/>
      <c r="AC22" s="73">
        <v>2</v>
      </c>
    </row>
    <row r="23" spans="1:29" ht="30.75" thickBot="1" x14ac:dyDescent="0.3">
      <c r="A23" s="6">
        <f>IF('Stakeholders Wizard'!K64="Yes",1,0)</f>
        <v>0</v>
      </c>
      <c r="B23" s="88" t="s">
        <v>25</v>
      </c>
      <c r="C23" s="72" t="s">
        <v>273</v>
      </c>
      <c r="D23" s="89" t="s">
        <v>43</v>
      </c>
      <c r="E23" s="73"/>
      <c r="F23" s="73"/>
      <c r="G23" s="73"/>
      <c r="H23" s="73"/>
      <c r="I23" s="73"/>
      <c r="J23" s="73"/>
      <c r="K23" s="73"/>
      <c r="L23" s="73"/>
      <c r="M23" s="73">
        <v>2</v>
      </c>
      <c r="N23" s="73"/>
      <c r="O23" s="73">
        <v>2</v>
      </c>
      <c r="P23" s="73">
        <v>2</v>
      </c>
      <c r="Q23" s="73"/>
      <c r="R23" s="73"/>
      <c r="S23" s="73"/>
      <c r="T23" s="73"/>
      <c r="U23" s="73"/>
      <c r="V23" s="73"/>
      <c r="W23" s="73"/>
      <c r="X23" s="73"/>
      <c r="Y23" s="73"/>
      <c r="Z23" s="73"/>
      <c r="AA23" s="73"/>
      <c r="AB23" s="73"/>
      <c r="AC23" s="73"/>
    </row>
    <row r="24" spans="1:29" ht="30.75" thickBot="1" x14ac:dyDescent="0.3">
      <c r="A24" s="6">
        <f>IF('Stakeholders Wizard'!K65="Yes",1,0)</f>
        <v>0</v>
      </c>
      <c r="B24" s="88" t="s">
        <v>26</v>
      </c>
      <c r="C24" s="72" t="s">
        <v>274</v>
      </c>
      <c r="D24" s="89" t="s">
        <v>43</v>
      </c>
      <c r="E24" s="73"/>
      <c r="F24" s="73"/>
      <c r="G24" s="73"/>
      <c r="H24" s="73"/>
      <c r="I24" s="73"/>
      <c r="J24" s="73"/>
      <c r="K24" s="73"/>
      <c r="L24" s="73"/>
      <c r="M24" s="73"/>
      <c r="N24" s="73"/>
      <c r="O24" s="73"/>
      <c r="P24" s="73"/>
      <c r="Q24" s="73">
        <v>2</v>
      </c>
      <c r="R24" s="73">
        <v>2</v>
      </c>
      <c r="S24" s="73"/>
      <c r="T24" s="73"/>
      <c r="U24" s="73"/>
      <c r="V24" s="73"/>
      <c r="W24" s="73"/>
      <c r="X24" s="73"/>
      <c r="Y24" s="73"/>
      <c r="Z24" s="73"/>
      <c r="AA24" s="73"/>
      <c r="AB24" s="73"/>
      <c r="AC24" s="73"/>
    </row>
    <row r="25" spans="1:29" ht="15.75" thickBot="1" x14ac:dyDescent="0.3">
      <c r="A25" s="6">
        <f>IF('Stakeholders Wizard'!K66="Yes",1,0)</f>
        <v>0</v>
      </c>
      <c r="B25" s="88" t="s">
        <v>27</v>
      </c>
      <c r="C25" s="72" t="s">
        <v>275</v>
      </c>
      <c r="D25" s="89" t="s">
        <v>43</v>
      </c>
      <c r="E25" s="73"/>
      <c r="F25" s="73"/>
      <c r="G25" s="73">
        <v>2</v>
      </c>
      <c r="H25" s="73"/>
      <c r="I25" s="73"/>
      <c r="J25" s="73"/>
      <c r="K25" s="73"/>
      <c r="L25" s="73"/>
      <c r="M25" s="73">
        <v>2</v>
      </c>
      <c r="N25" s="73"/>
      <c r="O25" s="73">
        <v>2</v>
      </c>
      <c r="P25" s="73">
        <v>2</v>
      </c>
      <c r="Q25" s="73"/>
      <c r="R25" s="73"/>
      <c r="S25" s="73"/>
      <c r="T25" s="73"/>
      <c r="U25" s="73"/>
      <c r="V25" s="73"/>
      <c r="W25" s="73"/>
      <c r="X25" s="73"/>
      <c r="Y25" s="73"/>
      <c r="Z25" s="73"/>
      <c r="AA25" s="73"/>
      <c r="AB25" s="73"/>
      <c r="AC25" s="73"/>
    </row>
    <row r="26" spans="1:29" ht="15.75" thickBot="1" x14ac:dyDescent="0.3">
      <c r="A26" s="6">
        <f>IF('Stakeholders Wizard'!K67="Yes",1,0)</f>
        <v>0</v>
      </c>
      <c r="B26" s="88" t="s">
        <v>28</v>
      </c>
      <c r="C26" s="72" t="s">
        <v>276</v>
      </c>
      <c r="D26" s="89" t="s">
        <v>43</v>
      </c>
      <c r="E26" s="73"/>
      <c r="F26" s="73"/>
      <c r="G26" s="73"/>
      <c r="H26" s="73"/>
      <c r="I26" s="73"/>
      <c r="J26" s="73"/>
      <c r="K26" s="73"/>
      <c r="L26" s="73"/>
      <c r="M26" s="73"/>
      <c r="N26" s="73"/>
      <c r="O26" s="73"/>
      <c r="P26" s="73"/>
      <c r="Q26" s="73">
        <v>2</v>
      </c>
      <c r="R26" s="73"/>
      <c r="S26" s="73">
        <v>2</v>
      </c>
      <c r="T26" s="73"/>
      <c r="U26" s="73"/>
      <c r="V26" s="73"/>
      <c r="W26" s="73"/>
      <c r="X26" s="73"/>
      <c r="Y26" s="73"/>
      <c r="Z26" s="73"/>
      <c r="AA26" s="73"/>
      <c r="AB26" s="73"/>
      <c r="AC26" s="73"/>
    </row>
    <row r="27" spans="1:29" ht="30.75" thickBot="1" x14ac:dyDescent="0.3">
      <c r="A27" s="6">
        <f>IF('Stakeholders Wizard'!K70="Yes",1,0)</f>
        <v>0</v>
      </c>
      <c r="B27" s="88" t="s">
        <v>29</v>
      </c>
      <c r="C27" s="74" t="s">
        <v>41</v>
      </c>
      <c r="D27" s="89" t="s">
        <v>43</v>
      </c>
      <c r="E27" s="73"/>
      <c r="F27" s="73"/>
      <c r="G27" s="73"/>
      <c r="H27" s="73"/>
      <c r="I27" s="73"/>
      <c r="J27" s="73"/>
      <c r="K27" s="73"/>
      <c r="L27" s="73"/>
      <c r="M27" s="73"/>
      <c r="N27" s="73"/>
      <c r="O27" s="73"/>
      <c r="P27" s="73"/>
      <c r="Q27" s="73"/>
      <c r="R27" s="73"/>
      <c r="S27" s="73"/>
      <c r="T27" s="73"/>
      <c r="U27" s="73"/>
      <c r="V27" s="73"/>
      <c r="W27" s="73"/>
      <c r="X27" s="73"/>
      <c r="Y27" s="73"/>
      <c r="Z27" s="73"/>
      <c r="AA27" s="73"/>
      <c r="AB27" s="73">
        <v>2</v>
      </c>
      <c r="AC27" s="73"/>
    </row>
    <row r="28" spans="1:29" ht="30.75" thickBot="1" x14ac:dyDescent="0.3">
      <c r="A28" s="6">
        <f>IF('Stakeholders Wizard'!K71="Yes",1,0)</f>
        <v>0</v>
      </c>
      <c r="B28" s="88" t="s">
        <v>30</v>
      </c>
      <c r="C28" s="74" t="s">
        <v>42</v>
      </c>
      <c r="D28" s="89" t="s">
        <v>43</v>
      </c>
      <c r="E28" s="73"/>
      <c r="F28" s="73"/>
      <c r="G28" s="73">
        <v>2</v>
      </c>
      <c r="H28" s="73"/>
      <c r="I28" s="73"/>
      <c r="J28" s="73"/>
      <c r="K28" s="73"/>
      <c r="L28" s="73"/>
      <c r="M28" s="73"/>
      <c r="N28" s="73"/>
      <c r="O28" s="73"/>
      <c r="P28" s="73"/>
      <c r="Q28" s="73"/>
      <c r="R28" s="73"/>
      <c r="S28" s="73"/>
      <c r="T28" s="73"/>
      <c r="U28" s="73"/>
      <c r="V28" s="73"/>
      <c r="W28" s="73"/>
      <c r="X28" s="73"/>
      <c r="Y28" s="73"/>
      <c r="Z28" s="73"/>
      <c r="AA28" s="73"/>
      <c r="AB28" s="73"/>
      <c r="AC28" s="73">
        <v>2</v>
      </c>
    </row>
    <row r="29" spans="1:29" ht="30.75" thickBot="1" x14ac:dyDescent="0.3">
      <c r="A29" s="6">
        <f>IF('Stakeholders Wizard'!K72="Yes",1,0)</f>
        <v>0</v>
      </c>
      <c r="B29" s="88" t="s">
        <v>204</v>
      </c>
      <c r="C29" s="74" t="s">
        <v>205</v>
      </c>
      <c r="D29" s="89" t="s">
        <v>43</v>
      </c>
      <c r="E29" s="73"/>
      <c r="F29" s="73"/>
      <c r="G29" s="73">
        <v>2</v>
      </c>
      <c r="H29" s="73"/>
      <c r="I29" s="73"/>
      <c r="J29" s="73"/>
      <c r="K29" s="73"/>
      <c r="L29" s="73"/>
      <c r="M29" s="73"/>
      <c r="N29" s="73"/>
      <c r="O29" s="73"/>
      <c r="P29" s="73"/>
      <c r="Q29" s="73">
        <v>2</v>
      </c>
      <c r="R29" s="73">
        <v>2</v>
      </c>
      <c r="S29" s="73"/>
      <c r="T29" s="73"/>
      <c r="U29" s="73"/>
      <c r="V29" s="73">
        <v>2</v>
      </c>
      <c r="W29" s="73"/>
      <c r="X29" s="73"/>
      <c r="Y29" s="73"/>
      <c r="Z29" s="73"/>
      <c r="AA29" s="73"/>
      <c r="AB29" s="73"/>
      <c r="AC29" s="73"/>
    </row>
    <row r="30" spans="1:29" ht="15.75" thickBot="1" x14ac:dyDescent="0.3">
      <c r="A30" s="6">
        <f>IF('Stakeholders Wizard'!K73="Yes",1,0)</f>
        <v>0</v>
      </c>
      <c r="B30" s="88" t="s">
        <v>11</v>
      </c>
      <c r="C30" s="74" t="s">
        <v>71</v>
      </c>
      <c r="D30" s="89" t="s">
        <v>43</v>
      </c>
      <c r="E30" s="73"/>
      <c r="F30" s="73"/>
      <c r="G30" s="73"/>
      <c r="H30" s="73"/>
      <c r="I30" s="73"/>
      <c r="J30" s="73"/>
      <c r="K30" s="73"/>
      <c r="L30" s="73"/>
      <c r="M30" s="73"/>
      <c r="N30" s="73"/>
      <c r="O30" s="73"/>
      <c r="P30" s="73"/>
      <c r="Q30" s="73">
        <v>2</v>
      </c>
      <c r="R30" s="73"/>
      <c r="S30" s="73">
        <v>2</v>
      </c>
      <c r="T30" s="73">
        <v>2</v>
      </c>
      <c r="U30" s="73"/>
      <c r="V30" s="73"/>
      <c r="W30" s="73"/>
      <c r="X30" s="73"/>
      <c r="Y30" s="73"/>
      <c r="Z30" s="73"/>
      <c r="AA30" s="73"/>
      <c r="AB30" s="73"/>
      <c r="AC30" s="73">
        <v>2</v>
      </c>
    </row>
    <row r="31" spans="1:29" ht="15.75" thickBot="1" x14ac:dyDescent="0.3">
      <c r="A31" s="6">
        <f>IF('Stakeholders Wizard'!K74="Yes",1,0)</f>
        <v>0</v>
      </c>
      <c r="B31" s="88" t="s">
        <v>13</v>
      </c>
      <c r="C31" s="74" t="s">
        <v>207</v>
      </c>
      <c r="D31" s="89" t="s">
        <v>43</v>
      </c>
      <c r="E31" s="73"/>
      <c r="F31" s="73"/>
      <c r="G31" s="73"/>
      <c r="H31" s="73"/>
      <c r="I31" s="73"/>
      <c r="J31" s="73"/>
      <c r="K31" s="73">
        <v>2</v>
      </c>
      <c r="L31" s="73">
        <v>2</v>
      </c>
      <c r="M31" s="73"/>
      <c r="N31" s="73"/>
      <c r="O31" s="73"/>
      <c r="P31" s="73"/>
      <c r="Q31" s="73"/>
      <c r="R31" s="73"/>
      <c r="S31" s="73"/>
      <c r="T31" s="73"/>
      <c r="U31" s="73"/>
      <c r="V31" s="73"/>
      <c r="W31" s="73"/>
      <c r="X31" s="73"/>
      <c r="Y31" s="73"/>
      <c r="Z31" s="73"/>
      <c r="AA31" s="73"/>
      <c r="AB31" s="73"/>
      <c r="AC31" s="73"/>
    </row>
    <row r="32" spans="1:29" ht="15.75" thickBot="1" x14ac:dyDescent="0.3">
      <c r="A32" s="6">
        <f>IF('Stakeholders Wizard'!K75="Yes",1,0)</f>
        <v>0</v>
      </c>
      <c r="B32" s="88" t="s">
        <v>14</v>
      </c>
      <c r="C32" s="74" t="s">
        <v>208</v>
      </c>
      <c r="D32" s="89" t="s">
        <v>43</v>
      </c>
      <c r="E32" s="73"/>
      <c r="F32" s="73"/>
      <c r="G32" s="73"/>
      <c r="H32" s="73"/>
      <c r="I32" s="73"/>
      <c r="J32" s="73"/>
      <c r="K32" s="73"/>
      <c r="L32" s="73"/>
      <c r="M32" s="73">
        <v>2</v>
      </c>
      <c r="N32" s="73"/>
      <c r="O32" s="73"/>
      <c r="P32" s="73"/>
      <c r="Q32" s="73"/>
      <c r="R32" s="73"/>
      <c r="S32" s="73"/>
      <c r="T32" s="73">
        <v>2</v>
      </c>
      <c r="U32" s="73"/>
      <c r="V32" s="73"/>
      <c r="W32" s="73"/>
      <c r="X32" s="73"/>
      <c r="Y32" s="73"/>
      <c r="Z32" s="73"/>
      <c r="AA32" s="73"/>
      <c r="AB32" s="73"/>
      <c r="AC32" s="73"/>
    </row>
    <row r="33" spans="1:29" ht="15.75" thickBot="1" x14ac:dyDescent="0.3">
      <c r="A33" s="6">
        <f>IF('Stakeholders Wizard'!K76="Yes",1,0)</f>
        <v>0</v>
      </c>
      <c r="B33" s="88" t="s">
        <v>12</v>
      </c>
      <c r="C33" s="74" t="s">
        <v>206</v>
      </c>
      <c r="D33" s="89" t="s">
        <v>43</v>
      </c>
      <c r="E33" s="73"/>
      <c r="F33" s="73"/>
      <c r="G33" s="73"/>
      <c r="H33" s="73"/>
      <c r="I33" s="73"/>
      <c r="J33" s="73"/>
      <c r="K33" s="73"/>
      <c r="L33" s="73"/>
      <c r="M33" s="73">
        <v>2</v>
      </c>
      <c r="N33" s="73"/>
      <c r="O33" s="73">
        <v>2</v>
      </c>
      <c r="P33" s="73">
        <v>2</v>
      </c>
      <c r="Q33" s="73"/>
      <c r="R33" s="73"/>
      <c r="S33" s="73"/>
      <c r="T33" s="73">
        <v>2</v>
      </c>
      <c r="U33" s="73"/>
      <c r="V33" s="73"/>
      <c r="W33" s="73"/>
      <c r="X33" s="73">
        <v>2</v>
      </c>
      <c r="Y33" s="73"/>
      <c r="Z33" s="73"/>
      <c r="AA33" s="73"/>
      <c r="AB33" s="73"/>
      <c r="AC33" s="73"/>
    </row>
    <row r="34" spans="1:29" ht="15.75" thickBot="1" x14ac:dyDescent="0.3">
      <c r="A34" s="6">
        <f>IF('Stakeholders Wizard'!K77="Yes",1,0)</f>
        <v>0</v>
      </c>
      <c r="B34" s="88" t="s">
        <v>15</v>
      </c>
      <c r="C34" s="74" t="s">
        <v>209</v>
      </c>
      <c r="D34" s="89" t="s">
        <v>43</v>
      </c>
      <c r="E34" s="73"/>
      <c r="F34" s="73"/>
      <c r="G34" s="73"/>
      <c r="H34" s="73"/>
      <c r="I34" s="73"/>
      <c r="J34" s="73"/>
      <c r="K34" s="73"/>
      <c r="L34" s="73"/>
      <c r="M34" s="73"/>
      <c r="N34" s="73"/>
      <c r="O34" s="73"/>
      <c r="P34" s="73"/>
      <c r="Q34" s="73"/>
      <c r="R34" s="73"/>
      <c r="S34" s="73"/>
      <c r="T34" s="73"/>
      <c r="U34" s="73">
        <v>2</v>
      </c>
      <c r="V34" s="73"/>
      <c r="W34" s="73"/>
      <c r="X34" s="73"/>
      <c r="Y34" s="73"/>
      <c r="Z34" s="73"/>
      <c r="AA34" s="73"/>
      <c r="AB34" s="73"/>
      <c r="AC34" s="73">
        <v>2</v>
      </c>
    </row>
    <row r="36" spans="1:29" ht="17.25" hidden="1" x14ac:dyDescent="0.25">
      <c r="E36" s="90">
        <f t="shared" ref="E36:AC36" si="0">RANK(E37,$E$37:$AC$37)</f>
        <v>1</v>
      </c>
      <c r="F36" s="90">
        <f t="shared" si="0"/>
        <v>1</v>
      </c>
      <c r="G36" s="90">
        <f t="shared" si="0"/>
        <v>1</v>
      </c>
      <c r="H36" s="90">
        <f t="shared" si="0"/>
        <v>1</v>
      </c>
      <c r="I36" s="90">
        <f t="shared" si="0"/>
        <v>1</v>
      </c>
      <c r="J36" s="90">
        <f t="shared" si="0"/>
        <v>1</v>
      </c>
      <c r="K36" s="90">
        <f t="shared" si="0"/>
        <v>1</v>
      </c>
      <c r="L36" s="90">
        <f t="shared" si="0"/>
        <v>1</v>
      </c>
      <c r="M36" s="90">
        <f t="shared" si="0"/>
        <v>1</v>
      </c>
      <c r="N36" s="90">
        <f t="shared" si="0"/>
        <v>1</v>
      </c>
      <c r="O36" s="90">
        <f t="shared" si="0"/>
        <v>1</v>
      </c>
      <c r="P36" s="90">
        <f t="shared" si="0"/>
        <v>1</v>
      </c>
      <c r="Q36" s="90">
        <f t="shared" si="0"/>
        <v>1</v>
      </c>
      <c r="R36" s="90">
        <f t="shared" si="0"/>
        <v>1</v>
      </c>
      <c r="S36" s="90">
        <f t="shared" si="0"/>
        <v>1</v>
      </c>
      <c r="T36" s="90">
        <f t="shared" si="0"/>
        <v>1</v>
      </c>
      <c r="U36" s="90">
        <f t="shared" si="0"/>
        <v>1</v>
      </c>
      <c r="V36" s="90">
        <f t="shared" si="0"/>
        <v>1</v>
      </c>
      <c r="W36" s="90">
        <f t="shared" si="0"/>
        <v>1</v>
      </c>
      <c r="X36" s="90">
        <f t="shared" si="0"/>
        <v>1</v>
      </c>
      <c r="Y36" s="90">
        <f t="shared" si="0"/>
        <v>1</v>
      </c>
      <c r="Z36" s="90">
        <f t="shared" si="0"/>
        <v>1</v>
      </c>
      <c r="AA36" s="90">
        <f t="shared" si="0"/>
        <v>1</v>
      </c>
      <c r="AB36" s="90">
        <f t="shared" si="0"/>
        <v>1</v>
      </c>
      <c r="AC36" s="90">
        <f t="shared" si="0"/>
        <v>1</v>
      </c>
    </row>
    <row r="37" spans="1:29" s="90" customFormat="1" ht="24" hidden="1" x14ac:dyDescent="0.25">
      <c r="A37" s="91"/>
      <c r="E37" s="92">
        <f t="shared" ref="E37:AC37" si="1">SUMPRODUCT(E6:E34,$A$6:$A$34)</f>
        <v>0</v>
      </c>
      <c r="F37" s="92">
        <f t="shared" si="1"/>
        <v>0</v>
      </c>
      <c r="G37" s="92">
        <f t="shared" si="1"/>
        <v>0</v>
      </c>
      <c r="H37" s="92">
        <f t="shared" si="1"/>
        <v>0</v>
      </c>
      <c r="I37" s="92">
        <f t="shared" si="1"/>
        <v>0</v>
      </c>
      <c r="J37" s="92">
        <f t="shared" si="1"/>
        <v>0</v>
      </c>
      <c r="K37" s="92">
        <f t="shared" si="1"/>
        <v>0</v>
      </c>
      <c r="L37" s="92">
        <f t="shared" si="1"/>
        <v>0</v>
      </c>
      <c r="M37" s="92">
        <f t="shared" si="1"/>
        <v>0</v>
      </c>
      <c r="N37" s="92">
        <f t="shared" si="1"/>
        <v>0</v>
      </c>
      <c r="O37" s="92">
        <f t="shared" si="1"/>
        <v>0</v>
      </c>
      <c r="P37" s="92">
        <f t="shared" si="1"/>
        <v>0</v>
      </c>
      <c r="Q37" s="92">
        <f t="shared" si="1"/>
        <v>0</v>
      </c>
      <c r="R37" s="92">
        <f t="shared" si="1"/>
        <v>0</v>
      </c>
      <c r="S37" s="92">
        <f t="shared" si="1"/>
        <v>0</v>
      </c>
      <c r="T37" s="92">
        <f t="shared" si="1"/>
        <v>0</v>
      </c>
      <c r="U37" s="92">
        <f t="shared" si="1"/>
        <v>0</v>
      </c>
      <c r="V37" s="92">
        <f t="shared" si="1"/>
        <v>0</v>
      </c>
      <c r="W37" s="92">
        <f t="shared" si="1"/>
        <v>0</v>
      </c>
      <c r="X37" s="92">
        <f t="shared" si="1"/>
        <v>0</v>
      </c>
      <c r="Y37" s="92">
        <f t="shared" si="1"/>
        <v>0</v>
      </c>
      <c r="Z37" s="92">
        <f t="shared" si="1"/>
        <v>0</v>
      </c>
      <c r="AA37" s="92">
        <f t="shared" si="1"/>
        <v>0</v>
      </c>
      <c r="AB37" s="92">
        <f t="shared" si="1"/>
        <v>0</v>
      </c>
      <c r="AC37" s="92">
        <f t="shared" si="1"/>
        <v>0</v>
      </c>
    </row>
    <row r="38" spans="1:29" s="90" customFormat="1" x14ac:dyDescent="0.25">
      <c r="A38" s="91"/>
    </row>
    <row r="39" spans="1:29" s="90" customFormat="1" x14ac:dyDescent="0.25">
      <c r="A39" s="91"/>
    </row>
    <row r="40" spans="1:29" s="90" customFormat="1" x14ac:dyDescent="0.25">
      <c r="A40" s="91"/>
    </row>
    <row r="41" spans="1:29" s="90" customFormat="1" ht="33.75" customHeight="1" x14ac:dyDescent="0.25">
      <c r="A41" s="91"/>
      <c r="D41" s="92"/>
    </row>
    <row r="42" spans="1:29" s="90" customFormat="1" x14ac:dyDescent="0.25">
      <c r="A42" s="91"/>
    </row>
    <row r="43" spans="1:29" s="90" customFormat="1" x14ac:dyDescent="0.25">
      <c r="A43" s="91"/>
    </row>
  </sheetData>
  <mergeCells count="8">
    <mergeCell ref="I4:N4"/>
    <mergeCell ref="B15:B17"/>
    <mergeCell ref="C15:C17"/>
    <mergeCell ref="B4:C4"/>
    <mergeCell ref="B7:B9"/>
    <mergeCell ref="C7:C9"/>
    <mergeCell ref="B11:B14"/>
    <mergeCell ref="C11:C14"/>
  </mergeCells>
  <conditionalFormatting sqref="E6:AC29">
    <cfRule type="cellIs" dxfId="7" priority="13" operator="greaterThan">
      <formula>2</formula>
    </cfRule>
    <cfRule type="cellIs" dxfId="6" priority="14" operator="equal">
      <formula>2</formula>
    </cfRule>
    <cfRule type="cellIs" dxfId="5" priority="15" operator="equal">
      <formula>0</formula>
    </cfRule>
    <cfRule type="cellIs" dxfId="4" priority="16" operator="equal">
      <formula>1</formula>
    </cfRule>
  </conditionalFormatting>
  <conditionalFormatting sqref="E30:AC34">
    <cfRule type="cellIs" dxfId="3" priority="5" operator="greaterThan">
      <formula>2</formula>
    </cfRule>
    <cfRule type="cellIs" dxfId="2" priority="6" operator="equal">
      <formula>2</formula>
    </cfRule>
    <cfRule type="cellIs" dxfId="1" priority="7" operator="equal">
      <formula>0</formula>
    </cfRule>
    <cfRule type="cellIs" dxfId="0" priority="8" operator="equal">
      <formula>1</formula>
    </cfRule>
  </conditionalFormatting>
  <pageMargins left="0.7" right="0.7" top="0.75" bottom="0.75" header="0.3" footer="0.3"/>
  <pageSetup scale="20" fitToWidth="2" orientation="landscape" horizontalDpi="4294967295" verticalDpi="4294967295"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EEF9602F855B7459CBD4E2B7C45A220" ma:contentTypeVersion="13" ma:contentTypeDescription="Create a new document." ma:contentTypeScope="" ma:versionID="2645c79c5cb4458424374c79573aceef">
  <xsd:schema xmlns:xsd="http://www.w3.org/2001/XMLSchema" xmlns:xs="http://www.w3.org/2001/XMLSchema" xmlns:p="http://schemas.microsoft.com/office/2006/metadata/properties" xmlns:ns3="ccfa8664-2c81-41b8-beb0-103aa730270a" xmlns:ns4="4514d44d-2b8d-4711-af55-e2a3d216dc08" targetNamespace="http://schemas.microsoft.com/office/2006/metadata/properties" ma:root="true" ma:fieldsID="8ad1a87bcb14cb3b4606cef0dd2e7ce8" ns3:_="" ns4:_="">
    <xsd:import namespace="ccfa8664-2c81-41b8-beb0-103aa730270a"/>
    <xsd:import namespace="4514d44d-2b8d-4711-af55-e2a3d216dc08"/>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4:SharedWithUsers" minOccurs="0"/>
                <xsd:element ref="ns4:SharedWithDetails" minOccurs="0"/>
                <xsd:element ref="ns4:SharingHintHash" minOccurs="0"/>
                <xsd:element ref="ns3:MediaServiceAutoKeyPoints" minOccurs="0"/>
                <xsd:element ref="ns3:MediaServiceKeyPoint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fa8664-2c81-41b8-beb0-103aa730270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514d44d-2b8d-4711-af55-e2a3d216dc08"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SharingHintHash" ma:index="17"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C954A61-6724-4DD7-9CCF-7A33EA502E2F}">
  <ds:schemaRefs>
    <ds:schemaRef ds:uri="http://schemas.microsoft.com/office/infopath/2007/PartnerControls"/>
    <ds:schemaRef ds:uri="ccfa8664-2c81-41b8-beb0-103aa730270a"/>
    <ds:schemaRef ds:uri="http://purl.org/dc/elements/1.1/"/>
    <ds:schemaRef ds:uri="http://schemas.microsoft.com/office/2006/metadata/properties"/>
    <ds:schemaRef ds:uri="http://purl.org/dc/terms/"/>
    <ds:schemaRef ds:uri="4514d44d-2b8d-4711-af55-e2a3d216dc08"/>
    <ds:schemaRef ds:uri="http://schemas.microsoft.com/office/2006/documentManagement/type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9A30D3ED-25D7-44C1-AB86-7D195D6CB19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fa8664-2c81-41b8-beb0-103aa730270a"/>
    <ds:schemaRef ds:uri="4514d44d-2b8d-4711-af55-e2a3d216dc0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B4F4DE4-CA3A-4EB1-A41C-DAF83FC50F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Feasibility Wizard</vt:lpstr>
      <vt:lpstr>Feasibility Matrix</vt:lpstr>
      <vt:lpstr>Application Wizard</vt:lpstr>
      <vt:lpstr>Application Matrix</vt:lpstr>
      <vt:lpstr>Goal Wizard</vt:lpstr>
      <vt:lpstr>Goal-Needs Matrix</vt:lpstr>
      <vt:lpstr>Stakeholders Wizard</vt:lpstr>
      <vt:lpstr>Stakeholders Matrix</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Zachary Bugg</dc:creator>
  <cp:lastModifiedBy>Michael Anderson</cp:lastModifiedBy>
  <cp:lastPrinted>2016-06-22T21:51:36Z</cp:lastPrinted>
  <dcterms:created xsi:type="dcterms:W3CDTF">2016-05-03T22:54:02Z</dcterms:created>
  <dcterms:modified xsi:type="dcterms:W3CDTF">2020-09-02T13:50:21Z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0x0101003EEF9602F855B7459CBD4E2B7C45A220</vt:lpwstr>
  </property>
</Properties>
</file>